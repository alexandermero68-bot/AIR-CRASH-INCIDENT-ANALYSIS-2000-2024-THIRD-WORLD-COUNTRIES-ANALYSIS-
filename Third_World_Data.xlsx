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Excel pro\"/>
    </mc:Choice>
  </mc:AlternateContent>
  <xr:revisionPtr revIDLastSave="0" documentId="13_ncr:1_{58149AC8-4E72-4F82-831C-0DA961859BEA}" xr6:coauthVersionLast="47" xr6:coauthVersionMax="47" xr10:uidLastSave="{00000000-0000-0000-0000-000000000000}"/>
  <bookViews>
    <workbookView xWindow="-108" yWindow="-108" windowWidth="23256" windowHeight="12576" firstSheet="9" activeTab="12" xr2:uid="{B3848A4E-A879-40D6-94F3-372781F46187}"/>
  </bookViews>
  <sheets>
    <sheet name="Sheet1" sheetId="1" r:id="rId1"/>
    <sheet name="Sheet2" sheetId="18" r:id="rId2"/>
    <sheet name="Sheet13" sheetId="13" r:id="rId3"/>
    <sheet name="QUESTION 1" sheetId="2" r:id="rId4"/>
    <sheet name="QUESTION 2" sheetId="3" r:id="rId5"/>
    <sheet name="QUESTION 3" sheetId="4" r:id="rId6"/>
    <sheet name="QUESTION 4" sheetId="5" r:id="rId7"/>
    <sheet name="QUESTION 5" sheetId="20" r:id="rId8"/>
    <sheet name="QUESTION 6 " sheetId="10" r:id="rId9"/>
    <sheet name="QUESTION 7" sheetId="14" r:id="rId10"/>
    <sheet name="QUESTION 8" sheetId="15" r:id="rId11"/>
    <sheet name="Sheet9" sheetId="9" r:id="rId12"/>
    <sheet name="QUESTION 10" sheetId="12" r:id="rId13"/>
  </sheets>
  <definedNames>
    <definedName name="_xlcn.WorksheetConnection_Third_World_Data.xlsxTable11" hidden="1">Table1[]</definedName>
    <definedName name="Slicer_Country_Region">#N/A</definedName>
    <definedName name="Slicer_Year">#N/A</definedName>
  </definedNames>
  <calcPr calcId="181029"/>
  <pivotCaches>
    <pivotCache cacheId="0" r:id="rId14"/>
    <pivotCache cacheId="1" r:id="rId15"/>
    <pivotCache cacheId="2" r:id="rId16"/>
  </pivotCaches>
  <extLst>
    <ext xmlns:x14="http://schemas.microsoft.com/office/spreadsheetml/2009/9/main" uri="{876F7934-8845-4945-9796-88D515C7AA90}">
      <x14:pivotCaches>
        <pivotCache cacheId="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hird_World_Data.xlsx!Table1"/>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05" i="13" l="1"/>
  <c r="M804" i="13"/>
  <c r="M803" i="13"/>
  <c r="M802" i="13"/>
  <c r="M801" i="13"/>
  <c r="M800" i="13"/>
  <c r="M799" i="13"/>
  <c r="M798" i="13"/>
  <c r="M797" i="13"/>
  <c r="M796" i="13"/>
  <c r="M795" i="13"/>
  <c r="M794" i="13"/>
  <c r="M793" i="13"/>
  <c r="M792" i="13"/>
  <c r="M791" i="13"/>
  <c r="M790" i="13"/>
  <c r="M789" i="13"/>
  <c r="M788" i="13"/>
  <c r="M787" i="13"/>
  <c r="M786" i="13"/>
  <c r="M785" i="13"/>
  <c r="M784" i="13"/>
  <c r="M783" i="13"/>
  <c r="M782" i="13"/>
  <c r="M781" i="13"/>
  <c r="M780" i="13"/>
  <c r="M779" i="13"/>
  <c r="M778" i="13"/>
  <c r="M777" i="13"/>
  <c r="M776" i="13"/>
  <c r="M775" i="13"/>
  <c r="M774" i="13"/>
  <c r="M773" i="13"/>
  <c r="M772" i="13"/>
  <c r="M771" i="13"/>
  <c r="M770" i="13"/>
  <c r="M769" i="13"/>
  <c r="M768" i="13"/>
  <c r="M767" i="13"/>
  <c r="M766" i="13"/>
  <c r="M765" i="13"/>
  <c r="M764" i="13"/>
  <c r="M763" i="13"/>
  <c r="M762" i="13"/>
  <c r="M761" i="13"/>
  <c r="M760" i="13"/>
  <c r="M759" i="13"/>
  <c r="M758" i="13"/>
  <c r="M757" i="13"/>
  <c r="M756" i="13"/>
  <c r="M755" i="13"/>
  <c r="M754" i="13"/>
  <c r="M753" i="13"/>
  <c r="M752" i="13"/>
  <c r="M751" i="13"/>
  <c r="M750" i="13"/>
  <c r="M749" i="13"/>
  <c r="M748" i="13"/>
  <c r="M747" i="13"/>
  <c r="M746" i="13"/>
  <c r="M745" i="13"/>
  <c r="M744" i="13"/>
  <c r="M743" i="13"/>
  <c r="M742" i="13"/>
  <c r="M741" i="13"/>
  <c r="M740" i="13"/>
  <c r="M739" i="13"/>
  <c r="M738" i="13"/>
  <c r="M737" i="13"/>
  <c r="M736" i="13"/>
  <c r="M735" i="13"/>
  <c r="M734" i="13"/>
  <c r="M733" i="13"/>
  <c r="M732" i="13"/>
  <c r="M731" i="13"/>
  <c r="M730" i="13"/>
  <c r="M729" i="13"/>
  <c r="M728" i="13"/>
  <c r="M727" i="13"/>
  <c r="M726" i="13"/>
  <c r="M725" i="13"/>
  <c r="M724" i="13"/>
  <c r="M723" i="13"/>
  <c r="M722" i="13"/>
  <c r="M721" i="13"/>
  <c r="M720" i="13"/>
  <c r="M719" i="13"/>
  <c r="M718" i="13"/>
  <c r="M717" i="13"/>
  <c r="M716" i="13"/>
  <c r="M715" i="13"/>
  <c r="M714" i="13"/>
  <c r="M713" i="13"/>
  <c r="M712" i="13"/>
  <c r="M711" i="13"/>
  <c r="M710" i="13"/>
  <c r="M709" i="13"/>
  <c r="M708" i="13"/>
  <c r="M707" i="13"/>
  <c r="M706" i="13"/>
  <c r="M705" i="13"/>
  <c r="M704" i="13"/>
  <c r="M703" i="13"/>
  <c r="M702" i="13"/>
  <c r="M701" i="13"/>
  <c r="M700" i="13"/>
  <c r="M699" i="13"/>
  <c r="M698" i="13"/>
  <c r="M697" i="13"/>
  <c r="M696" i="13"/>
  <c r="M695" i="13"/>
  <c r="M694" i="13"/>
  <c r="M693" i="13"/>
  <c r="M692" i="13"/>
  <c r="M691" i="13"/>
  <c r="M690" i="13"/>
  <c r="M689" i="13"/>
  <c r="M688" i="13"/>
  <c r="M687" i="13"/>
  <c r="M686" i="13"/>
  <c r="M685" i="13"/>
  <c r="M684" i="13"/>
  <c r="M683" i="13"/>
  <c r="M682" i="13"/>
  <c r="M681" i="13"/>
  <c r="M680" i="13"/>
  <c r="M679" i="13"/>
  <c r="M678" i="13"/>
  <c r="M677" i="13"/>
  <c r="M676" i="13"/>
  <c r="M675" i="13"/>
  <c r="M674" i="13"/>
  <c r="M673" i="13"/>
  <c r="M672" i="13"/>
  <c r="M671" i="13"/>
  <c r="M670" i="13"/>
  <c r="M669" i="13"/>
  <c r="M668" i="13"/>
  <c r="M667" i="13"/>
  <c r="M666" i="13"/>
  <c r="M665" i="13"/>
  <c r="M664" i="13"/>
  <c r="M663" i="13"/>
  <c r="M662" i="13"/>
  <c r="M661" i="13"/>
  <c r="M660" i="13"/>
  <c r="M659" i="13"/>
  <c r="M658" i="13"/>
  <c r="M657" i="13"/>
  <c r="M656" i="13"/>
  <c r="M655" i="13"/>
  <c r="M654" i="13"/>
  <c r="M653" i="13"/>
  <c r="M652" i="13"/>
  <c r="M651" i="13"/>
  <c r="M650" i="13"/>
  <c r="M649" i="13"/>
  <c r="M648" i="13"/>
  <c r="M647" i="13"/>
  <c r="M646" i="13"/>
  <c r="M645" i="13"/>
  <c r="M644" i="13"/>
  <c r="M643" i="13"/>
  <c r="M642" i="13"/>
  <c r="M641" i="13"/>
  <c r="M640" i="13"/>
  <c r="M639" i="13"/>
  <c r="M638" i="13"/>
  <c r="M637" i="13"/>
  <c r="M636" i="13"/>
  <c r="M635" i="13"/>
  <c r="M634" i="13"/>
  <c r="M633" i="13"/>
  <c r="M632" i="13"/>
  <c r="M631" i="13"/>
  <c r="M630" i="13"/>
  <c r="M629" i="13"/>
  <c r="M628" i="13"/>
  <c r="M627" i="13"/>
  <c r="M626" i="13"/>
  <c r="M625" i="13"/>
  <c r="M624" i="13"/>
  <c r="M623" i="13"/>
  <c r="M622" i="13"/>
  <c r="M621" i="13"/>
  <c r="M620" i="13"/>
  <c r="M619" i="13"/>
  <c r="M618" i="13"/>
  <c r="M617" i="13"/>
  <c r="M616" i="13"/>
  <c r="M615" i="13"/>
  <c r="M614" i="13"/>
  <c r="M613" i="13"/>
  <c r="M612" i="13"/>
  <c r="M611" i="13"/>
  <c r="M610" i="13"/>
  <c r="M609" i="13"/>
  <c r="M608" i="13"/>
  <c r="M607" i="13"/>
  <c r="M606" i="13"/>
  <c r="M605" i="13"/>
  <c r="M604" i="13"/>
  <c r="M603" i="13"/>
  <c r="M602" i="13"/>
  <c r="M601" i="13"/>
  <c r="M600" i="13"/>
  <c r="M599" i="13"/>
  <c r="M598" i="13"/>
  <c r="M597" i="13"/>
  <c r="M596" i="13"/>
  <c r="M595" i="13"/>
  <c r="M594" i="13"/>
  <c r="M593" i="13"/>
  <c r="M592" i="13"/>
  <c r="M591" i="13"/>
  <c r="M590" i="13"/>
  <c r="M589" i="13"/>
  <c r="M588" i="13"/>
  <c r="M587" i="13"/>
  <c r="M586" i="13"/>
  <c r="M585" i="13"/>
  <c r="M584" i="13"/>
  <c r="M583" i="13"/>
  <c r="M582" i="13"/>
  <c r="M581" i="13"/>
  <c r="M580" i="13"/>
  <c r="M579" i="13"/>
  <c r="M578" i="13"/>
  <c r="M577" i="13"/>
  <c r="M576" i="13"/>
  <c r="M575" i="13"/>
  <c r="M574" i="13"/>
  <c r="M573" i="13"/>
  <c r="M572" i="13"/>
  <c r="M571" i="13"/>
  <c r="M570" i="13"/>
  <c r="M569" i="13"/>
  <c r="M568" i="13"/>
  <c r="M567" i="13"/>
  <c r="M566" i="13"/>
  <c r="M565" i="13"/>
  <c r="M564" i="13"/>
  <c r="M563" i="13"/>
  <c r="M562" i="13"/>
  <c r="M561" i="13"/>
  <c r="M560" i="13"/>
  <c r="M559" i="13"/>
  <c r="M558" i="13"/>
  <c r="M557" i="13"/>
  <c r="M556" i="13"/>
  <c r="M555" i="13"/>
  <c r="M554" i="13"/>
  <c r="M553" i="13"/>
  <c r="M552" i="13"/>
  <c r="M551" i="13"/>
  <c r="M550" i="13"/>
  <c r="M549" i="13"/>
  <c r="M548" i="13"/>
  <c r="M547" i="13"/>
  <c r="M546" i="13"/>
  <c r="M545" i="13"/>
  <c r="M544" i="13"/>
  <c r="M543" i="13"/>
  <c r="M542" i="13"/>
  <c r="M541" i="13"/>
  <c r="M540" i="13"/>
  <c r="M539" i="13"/>
  <c r="M538" i="13"/>
  <c r="M537" i="13"/>
  <c r="M536" i="13"/>
  <c r="M535" i="13"/>
  <c r="M534" i="13"/>
  <c r="M533" i="13"/>
  <c r="M532" i="13"/>
  <c r="M531" i="13"/>
  <c r="M530" i="13"/>
  <c r="M529" i="13"/>
  <c r="M528" i="13"/>
  <c r="M527" i="13"/>
  <c r="M526" i="13"/>
  <c r="M525" i="13"/>
  <c r="M524" i="13"/>
  <c r="M523" i="13"/>
  <c r="M522" i="13"/>
  <c r="M521" i="13"/>
  <c r="M520" i="13"/>
  <c r="M519" i="13"/>
  <c r="M518" i="13"/>
  <c r="M517" i="13"/>
  <c r="M516" i="13"/>
  <c r="M515" i="13"/>
  <c r="M514" i="13"/>
  <c r="M513" i="13"/>
  <c r="M512" i="13"/>
  <c r="M511" i="13"/>
  <c r="M510" i="13"/>
  <c r="M509" i="13"/>
  <c r="M508" i="13"/>
  <c r="M507" i="13"/>
  <c r="M506" i="13"/>
  <c r="M505" i="13"/>
  <c r="M504" i="13"/>
  <c r="M503" i="13"/>
  <c r="M502" i="13"/>
  <c r="M501" i="13"/>
  <c r="M500" i="13"/>
  <c r="M499" i="13"/>
  <c r="M498" i="13"/>
  <c r="M497" i="13"/>
  <c r="M496" i="13"/>
  <c r="M495" i="13"/>
  <c r="M494" i="13"/>
  <c r="M493" i="13"/>
  <c r="M492" i="13"/>
  <c r="M491" i="13"/>
  <c r="M490" i="13"/>
  <c r="M489" i="13"/>
  <c r="M488" i="13"/>
  <c r="M487" i="13"/>
  <c r="M486" i="13"/>
  <c r="M485" i="13"/>
  <c r="M484" i="13"/>
  <c r="M483" i="13"/>
  <c r="M482" i="13"/>
  <c r="M481" i="13"/>
  <c r="M480" i="13"/>
  <c r="M479" i="13"/>
  <c r="M478" i="13"/>
  <c r="M477" i="13"/>
  <c r="M476" i="13"/>
  <c r="M475" i="13"/>
  <c r="M474" i="13"/>
  <c r="M473" i="13"/>
  <c r="M472" i="13"/>
  <c r="M471" i="13"/>
  <c r="M470" i="13"/>
  <c r="M469" i="13"/>
  <c r="M468" i="13"/>
  <c r="M467" i="13"/>
  <c r="M466" i="13"/>
  <c r="M465" i="13"/>
  <c r="M464" i="13"/>
  <c r="M463" i="13"/>
  <c r="M462" i="13"/>
  <c r="M461" i="13"/>
  <c r="M460" i="13"/>
  <c r="M459" i="13"/>
  <c r="M458" i="13"/>
  <c r="M457" i="13"/>
  <c r="M456" i="13"/>
  <c r="M455" i="13"/>
  <c r="M454" i="13"/>
  <c r="M453" i="13"/>
  <c r="M452" i="13"/>
  <c r="M451" i="13"/>
  <c r="M450" i="13"/>
  <c r="M449" i="13"/>
  <c r="M448" i="13"/>
  <c r="M447" i="13"/>
  <c r="M446" i="13"/>
  <c r="M445" i="13"/>
  <c r="M444" i="13"/>
  <c r="M443" i="13"/>
  <c r="M442" i="13"/>
  <c r="M441" i="13"/>
  <c r="M440" i="13"/>
  <c r="M439" i="13"/>
  <c r="M438" i="13"/>
  <c r="M437" i="13"/>
  <c r="M436" i="13"/>
  <c r="M435" i="13"/>
  <c r="M434" i="13"/>
  <c r="M433" i="13"/>
  <c r="M432" i="13"/>
  <c r="M431" i="13"/>
  <c r="M430" i="13"/>
  <c r="M429" i="13"/>
  <c r="M428" i="13"/>
  <c r="M427" i="13"/>
  <c r="M426" i="13"/>
  <c r="M425" i="13"/>
  <c r="M424" i="13"/>
  <c r="M423" i="13"/>
  <c r="M422" i="13"/>
  <c r="M421" i="13"/>
  <c r="M420" i="13"/>
  <c r="M419" i="13"/>
  <c r="M418" i="13"/>
  <c r="M417" i="13"/>
  <c r="M416" i="13"/>
  <c r="M415" i="13"/>
  <c r="M414" i="13"/>
  <c r="M413" i="13"/>
  <c r="M412" i="13"/>
  <c r="M411" i="13"/>
  <c r="M410" i="13"/>
  <c r="M409" i="13"/>
  <c r="M408" i="13"/>
  <c r="M407" i="13"/>
  <c r="M406" i="13"/>
  <c r="M405" i="13"/>
  <c r="M404" i="13"/>
  <c r="M403" i="13"/>
  <c r="M402" i="13"/>
  <c r="M401" i="13"/>
  <c r="M400" i="13"/>
  <c r="M399" i="13"/>
  <c r="M398" i="13"/>
  <c r="M397" i="13"/>
  <c r="M396" i="13"/>
  <c r="M395" i="13"/>
  <c r="M394" i="13"/>
  <c r="M393" i="13"/>
  <c r="M392" i="13"/>
  <c r="M391" i="13"/>
  <c r="M390" i="13"/>
  <c r="M389" i="13"/>
  <c r="M388" i="13"/>
  <c r="M387" i="13"/>
  <c r="M386" i="13"/>
  <c r="M385" i="13"/>
  <c r="M384" i="13"/>
  <c r="M383" i="13"/>
  <c r="M382" i="13"/>
  <c r="M381" i="13"/>
  <c r="M380" i="13"/>
  <c r="M379" i="13"/>
  <c r="M378" i="13"/>
  <c r="M377" i="13"/>
  <c r="M376" i="13"/>
  <c r="M375" i="13"/>
  <c r="M374" i="13"/>
  <c r="M373" i="13"/>
  <c r="M372" i="13"/>
  <c r="M371" i="13"/>
  <c r="M370" i="13"/>
  <c r="M369" i="13"/>
  <c r="M368" i="13"/>
  <c r="M367" i="13"/>
  <c r="M366" i="13"/>
  <c r="M365" i="13"/>
  <c r="M364" i="13"/>
  <c r="M363" i="13"/>
  <c r="M362" i="13"/>
  <c r="M361" i="13"/>
  <c r="M360" i="13"/>
  <c r="M359" i="13"/>
  <c r="M358" i="13"/>
  <c r="M357" i="13"/>
  <c r="M356" i="13"/>
  <c r="M355" i="13"/>
  <c r="M354" i="13"/>
  <c r="M353" i="13"/>
  <c r="M352" i="13"/>
  <c r="M351" i="13"/>
  <c r="M350" i="13"/>
  <c r="M349" i="13"/>
  <c r="M348" i="13"/>
  <c r="M347" i="13"/>
  <c r="M346" i="13"/>
  <c r="M345" i="13"/>
  <c r="M344" i="13"/>
  <c r="M343" i="13"/>
  <c r="M342" i="13"/>
  <c r="M341" i="13"/>
  <c r="M340" i="13"/>
  <c r="M339" i="13"/>
  <c r="M338" i="13"/>
  <c r="M337" i="13"/>
  <c r="M336" i="13"/>
  <c r="M335" i="13"/>
  <c r="M334" i="13"/>
  <c r="M333" i="13"/>
  <c r="M332" i="13"/>
  <c r="M331" i="13"/>
  <c r="M330" i="13"/>
  <c r="M329" i="13"/>
  <c r="M328" i="13"/>
  <c r="M327" i="13"/>
  <c r="M326" i="13"/>
  <c r="M325" i="13"/>
  <c r="M324" i="13"/>
  <c r="M323" i="13"/>
  <c r="M322" i="13"/>
  <c r="M321" i="13"/>
  <c r="M320" i="13"/>
  <c r="M319" i="13"/>
  <c r="M318" i="13"/>
  <c r="M317" i="13"/>
  <c r="M316" i="13"/>
  <c r="M315" i="13"/>
  <c r="M314" i="13"/>
  <c r="M313" i="13"/>
  <c r="M312" i="13"/>
  <c r="M311" i="13"/>
  <c r="M310" i="13"/>
  <c r="M309" i="13"/>
  <c r="M308" i="13"/>
  <c r="M307" i="13"/>
  <c r="M306" i="13"/>
  <c r="M305" i="13"/>
  <c r="M304" i="13"/>
  <c r="M303" i="13"/>
  <c r="M302" i="13"/>
  <c r="M301" i="13"/>
  <c r="M300" i="13"/>
  <c r="M299" i="13"/>
  <c r="M298" i="13"/>
  <c r="M297" i="13"/>
  <c r="M296" i="13"/>
  <c r="M295" i="13"/>
  <c r="M294" i="13"/>
  <c r="M293" i="13"/>
  <c r="M292" i="13"/>
  <c r="M291" i="13"/>
  <c r="M290" i="13"/>
  <c r="M289" i="13"/>
  <c r="M288" i="13"/>
  <c r="M287" i="13"/>
  <c r="M286" i="13"/>
  <c r="M285" i="13"/>
  <c r="M284" i="13"/>
  <c r="M283" i="13"/>
  <c r="M282" i="13"/>
  <c r="M281" i="13"/>
  <c r="M280" i="13"/>
  <c r="M279" i="13"/>
  <c r="M278" i="13"/>
  <c r="M277" i="13"/>
  <c r="M276" i="13"/>
  <c r="M275" i="13"/>
  <c r="M274" i="13"/>
  <c r="M273" i="13"/>
  <c r="M272" i="13"/>
  <c r="M271" i="13"/>
  <c r="M270" i="13"/>
  <c r="M269" i="13"/>
  <c r="M268" i="13"/>
  <c r="M267" i="13"/>
  <c r="M266" i="13"/>
  <c r="M265" i="13"/>
  <c r="M264" i="13"/>
  <c r="M263" i="13"/>
  <c r="M262" i="13"/>
  <c r="M261" i="13"/>
  <c r="M260" i="13"/>
  <c r="M259" i="13"/>
  <c r="M258" i="13"/>
  <c r="M257" i="13"/>
  <c r="M256" i="13"/>
  <c r="M255" i="13"/>
  <c r="M254" i="13"/>
  <c r="M253" i="13"/>
  <c r="M252" i="13"/>
  <c r="M251" i="13"/>
  <c r="M250" i="13"/>
  <c r="M249" i="13"/>
  <c r="M248" i="13"/>
  <c r="M247" i="13"/>
  <c r="M246" i="13"/>
  <c r="M245" i="13"/>
  <c r="M244" i="13"/>
  <c r="M243" i="13"/>
  <c r="M242" i="13"/>
  <c r="M241" i="13"/>
  <c r="M240" i="13"/>
  <c r="M239" i="13"/>
  <c r="M238" i="13"/>
  <c r="M237" i="13"/>
  <c r="M236" i="13"/>
  <c r="M235" i="13"/>
  <c r="M234" i="13"/>
  <c r="M233" i="13"/>
  <c r="M232" i="13"/>
  <c r="M231" i="13"/>
  <c r="M230" i="13"/>
  <c r="M229" i="13"/>
  <c r="M228" i="13"/>
  <c r="M227" i="13"/>
  <c r="M226" i="13"/>
  <c r="M225" i="13"/>
  <c r="M224" i="13"/>
  <c r="M223" i="13"/>
  <c r="M222" i="13"/>
  <c r="M221" i="13"/>
  <c r="M220" i="13"/>
  <c r="M219" i="13"/>
  <c r="M218" i="13"/>
  <c r="M217" i="13"/>
  <c r="M216" i="13"/>
  <c r="M215" i="13"/>
  <c r="M214" i="13"/>
  <c r="M213" i="13"/>
  <c r="M212" i="13"/>
  <c r="M211" i="13"/>
  <c r="M210" i="13"/>
  <c r="M209" i="13"/>
  <c r="M208" i="13"/>
  <c r="M207" i="13"/>
  <c r="M206" i="13"/>
  <c r="M205" i="13"/>
  <c r="M204" i="13"/>
  <c r="M203" i="13"/>
  <c r="M202" i="13"/>
  <c r="M201" i="13"/>
  <c r="M200" i="13"/>
  <c r="M199" i="13"/>
  <c r="M198" i="13"/>
  <c r="M197" i="13"/>
  <c r="M196" i="13"/>
  <c r="M195" i="13"/>
  <c r="M194" i="13"/>
  <c r="M193" i="13"/>
  <c r="M192" i="13"/>
  <c r="M191" i="13"/>
  <c r="M190" i="13"/>
  <c r="M189" i="13"/>
  <c r="M188" i="13"/>
  <c r="M187" i="13"/>
  <c r="M186" i="13"/>
  <c r="M185" i="13"/>
  <c r="M184" i="13"/>
  <c r="M183" i="13"/>
  <c r="M182" i="13"/>
  <c r="M181" i="13"/>
  <c r="M180" i="13"/>
  <c r="M179" i="13"/>
  <c r="M178" i="13"/>
  <c r="M177" i="13"/>
  <c r="M176" i="13"/>
  <c r="M175" i="13"/>
  <c r="M174" i="13"/>
  <c r="M173" i="13"/>
  <c r="M172" i="13"/>
  <c r="M171" i="13"/>
  <c r="M170" i="13"/>
  <c r="M169" i="13"/>
  <c r="M168" i="13"/>
  <c r="M167" i="13"/>
  <c r="M166" i="13"/>
  <c r="M165" i="13"/>
  <c r="M164" i="13"/>
  <c r="M163" i="13"/>
  <c r="M162" i="13"/>
  <c r="M161" i="13"/>
  <c r="M160" i="13"/>
  <c r="M159" i="13"/>
  <c r="M158" i="13"/>
  <c r="M157" i="13"/>
  <c r="M156" i="13"/>
  <c r="M155" i="13"/>
  <c r="M154" i="13"/>
  <c r="M153" i="13"/>
  <c r="M152" i="13"/>
  <c r="M151" i="13"/>
  <c r="M150" i="13"/>
  <c r="M149" i="13"/>
  <c r="M148" i="13"/>
  <c r="M147" i="13"/>
  <c r="M146" i="13"/>
  <c r="M145" i="13"/>
  <c r="M144" i="13"/>
  <c r="M143" i="13"/>
  <c r="M142" i="13"/>
  <c r="M141" i="13"/>
  <c r="M140" i="13"/>
  <c r="M139" i="13"/>
  <c r="M138" i="13"/>
  <c r="M137" i="13"/>
  <c r="M136" i="13"/>
  <c r="M135" i="13"/>
  <c r="M134" i="13"/>
  <c r="M133" i="13"/>
  <c r="M132" i="13"/>
  <c r="M131" i="13"/>
  <c r="M130" i="13"/>
  <c r="M129" i="13"/>
  <c r="M128" i="13"/>
  <c r="M127" i="13"/>
  <c r="M126" i="13"/>
  <c r="M125" i="13"/>
  <c r="M124" i="13"/>
  <c r="M123" i="13"/>
  <c r="M122" i="13"/>
  <c r="M121" i="13"/>
  <c r="M120" i="13"/>
  <c r="M119" i="13"/>
  <c r="M118" i="13"/>
  <c r="M117" i="13"/>
  <c r="M116" i="13"/>
  <c r="M115" i="13"/>
  <c r="M114" i="13"/>
  <c r="M113" i="13"/>
  <c r="M112" i="13"/>
  <c r="M111" i="13"/>
  <c r="M110" i="13"/>
  <c r="M109" i="13"/>
  <c r="M108" i="13"/>
  <c r="M107" i="13"/>
  <c r="M106" i="13"/>
  <c r="M105" i="13"/>
  <c r="M104" i="13"/>
  <c r="M103" i="13"/>
  <c r="M102" i="13"/>
  <c r="M101" i="13"/>
  <c r="M100" i="13"/>
  <c r="M99" i="13"/>
  <c r="M98" i="13"/>
  <c r="M97" i="13"/>
  <c r="M96" i="13"/>
  <c r="M95" i="13"/>
  <c r="M94" i="13"/>
  <c r="M93" i="13"/>
  <c r="M92" i="13"/>
  <c r="M91" i="13"/>
  <c r="M90" i="13"/>
  <c r="M89" i="13"/>
  <c r="M88" i="13"/>
  <c r="M87" i="13"/>
  <c r="M86" i="13"/>
  <c r="M85" i="13"/>
  <c r="M84" i="13"/>
  <c r="M83" i="13"/>
  <c r="M82" i="13"/>
  <c r="M81" i="13"/>
  <c r="M80" i="13"/>
  <c r="M79" i="13"/>
  <c r="M78" i="13"/>
  <c r="M77" i="13"/>
  <c r="M76" i="13"/>
  <c r="M75" i="13"/>
  <c r="M74" i="13"/>
  <c r="M73" i="13"/>
  <c r="M72" i="13"/>
  <c r="M71" i="13"/>
  <c r="M70" i="13"/>
  <c r="M69" i="13"/>
  <c r="M68" i="13"/>
  <c r="M67" i="13"/>
  <c r="M66" i="13"/>
  <c r="M65" i="13"/>
  <c r="M64" i="13"/>
  <c r="M63" i="13"/>
  <c r="M62" i="13"/>
  <c r="M61" i="13"/>
  <c r="M60" i="13"/>
  <c r="M59" i="13"/>
  <c r="M58" i="13"/>
  <c r="M57" i="13"/>
  <c r="M56" i="13"/>
  <c r="M55" i="13"/>
  <c r="M54" i="13"/>
  <c r="M53" i="13"/>
  <c r="M52" i="13"/>
  <c r="M51" i="13"/>
  <c r="M50" i="13"/>
  <c r="M49" i="13"/>
  <c r="M48" i="13"/>
  <c r="M47" i="13"/>
  <c r="M46" i="13"/>
  <c r="M45" i="13"/>
  <c r="M44" i="13"/>
  <c r="M43" i="13"/>
  <c r="M42" i="13"/>
  <c r="M41" i="13"/>
  <c r="M40" i="13"/>
  <c r="M39" i="13"/>
  <c r="M38" i="13"/>
  <c r="M37" i="13"/>
  <c r="M36" i="13"/>
  <c r="M35" i="13"/>
  <c r="M34" i="13"/>
  <c r="M33" i="13"/>
  <c r="M32" i="13"/>
  <c r="M31" i="13"/>
  <c r="M30" i="13"/>
  <c r="M29" i="13"/>
  <c r="M28" i="13"/>
  <c r="M27" i="13"/>
  <c r="M26" i="13"/>
  <c r="M25" i="13"/>
  <c r="M24" i="13"/>
  <c r="M23" i="13"/>
  <c r="M22" i="13"/>
  <c r="M21" i="13"/>
  <c r="M20" i="13"/>
  <c r="M19" i="13"/>
  <c r="M18" i="13"/>
  <c r="M17" i="13"/>
  <c r="M16" i="13"/>
  <c r="M15" i="13"/>
  <c r="M14" i="13"/>
  <c r="M13" i="13"/>
  <c r="M12" i="13"/>
  <c r="M11" i="13"/>
  <c r="M10" i="13"/>
  <c r="M9" i="13"/>
  <c r="M8" i="13"/>
  <c r="M7" i="13"/>
  <c r="M6" i="13"/>
  <c r="M5" i="13"/>
  <c r="M4" i="13"/>
  <c r="M3" i="13"/>
  <c r="M2" i="13"/>
  <c r="D3" i="13"/>
  <c r="G805" i="1"/>
  <c r="H805" i="1"/>
  <c r="G804" i="1"/>
  <c r="H804" i="1"/>
  <c r="G801" i="1"/>
  <c r="G802" i="1"/>
  <c r="G803" i="1"/>
  <c r="H801" i="1"/>
  <c r="H802" i="1"/>
  <c r="H803" i="1"/>
  <c r="G797" i="1"/>
  <c r="G798" i="1"/>
  <c r="G799" i="1"/>
  <c r="G800" i="1"/>
  <c r="H797" i="1"/>
  <c r="H798" i="1"/>
  <c r="H799" i="1"/>
  <c r="H800" i="1"/>
  <c r="G792" i="1"/>
  <c r="G793" i="1"/>
  <c r="G794" i="1"/>
  <c r="G795" i="1"/>
  <c r="G796" i="1"/>
  <c r="H792" i="1"/>
  <c r="H793" i="1"/>
  <c r="H794" i="1"/>
  <c r="H795" i="1"/>
  <c r="H796" i="1"/>
  <c r="G785" i="1"/>
  <c r="G786" i="1"/>
  <c r="G787" i="1"/>
  <c r="G788" i="1"/>
  <c r="G789" i="1"/>
  <c r="G790" i="1"/>
  <c r="G791" i="1"/>
  <c r="H785" i="1"/>
  <c r="H786" i="1"/>
  <c r="H787" i="1"/>
  <c r="H788" i="1"/>
  <c r="H789" i="1"/>
  <c r="H790" i="1"/>
  <c r="H791" i="1"/>
  <c r="G780" i="1"/>
  <c r="G781" i="1"/>
  <c r="G782" i="1"/>
  <c r="G783" i="1"/>
  <c r="G784" i="1"/>
  <c r="H780" i="1"/>
  <c r="H781" i="1"/>
  <c r="H782" i="1"/>
  <c r="H783" i="1"/>
  <c r="H784" i="1"/>
  <c r="G775" i="1"/>
  <c r="G776" i="1"/>
  <c r="G777" i="1"/>
  <c r="G778" i="1"/>
  <c r="G779" i="1"/>
  <c r="H775" i="1"/>
  <c r="H776" i="1"/>
  <c r="H777" i="1"/>
  <c r="H778" i="1"/>
  <c r="H779" i="1"/>
  <c r="G766" i="1"/>
  <c r="G767" i="1"/>
  <c r="G768" i="1"/>
  <c r="G769" i="1"/>
  <c r="G770" i="1"/>
  <c r="G771" i="1"/>
  <c r="G772" i="1"/>
  <c r="G773" i="1"/>
  <c r="G774" i="1"/>
  <c r="H766" i="1"/>
  <c r="H767" i="1"/>
  <c r="H768" i="1"/>
  <c r="H769" i="1"/>
  <c r="H770" i="1"/>
  <c r="H771" i="1"/>
  <c r="H772" i="1"/>
  <c r="H773" i="1"/>
  <c r="H774" i="1"/>
  <c r="G746" i="1"/>
  <c r="G747" i="1"/>
  <c r="G748" i="1"/>
  <c r="G749" i="1"/>
  <c r="G750" i="1"/>
  <c r="G751" i="1"/>
  <c r="G752" i="1"/>
  <c r="G753" i="1"/>
  <c r="G754" i="1"/>
  <c r="G755" i="1"/>
  <c r="G756" i="1"/>
  <c r="G757" i="1"/>
  <c r="G758" i="1"/>
  <c r="G759" i="1"/>
  <c r="G760" i="1"/>
  <c r="G761" i="1"/>
  <c r="G762" i="1"/>
  <c r="G763" i="1"/>
  <c r="G764" i="1"/>
  <c r="G765" i="1"/>
  <c r="H746" i="1"/>
  <c r="H747" i="1"/>
  <c r="H748" i="1"/>
  <c r="H749" i="1"/>
  <c r="H750" i="1"/>
  <c r="H751" i="1"/>
  <c r="H752" i="1"/>
  <c r="H753" i="1"/>
  <c r="H754" i="1"/>
  <c r="H755" i="1"/>
  <c r="H756" i="1"/>
  <c r="H757" i="1"/>
  <c r="H758" i="1"/>
  <c r="H759" i="1"/>
  <c r="H760" i="1"/>
  <c r="H761" i="1"/>
  <c r="H762" i="1"/>
  <c r="H763" i="1"/>
  <c r="H764" i="1"/>
  <c r="H765" i="1"/>
  <c r="G745" i="1"/>
  <c r="H745" i="1"/>
  <c r="G738" i="1"/>
  <c r="G739" i="1"/>
  <c r="G740" i="1"/>
  <c r="G741" i="1"/>
  <c r="G742" i="1"/>
  <c r="G743" i="1"/>
  <c r="G744" i="1"/>
  <c r="H738" i="1"/>
  <c r="H739" i="1"/>
  <c r="H740" i="1"/>
  <c r="H741" i="1"/>
  <c r="H742" i="1"/>
  <c r="H743" i="1"/>
  <c r="H744" i="1"/>
  <c r="G736" i="1"/>
  <c r="G737" i="1"/>
  <c r="H736" i="1"/>
  <c r="H737" i="1"/>
  <c r="G730" i="1"/>
  <c r="G731" i="1"/>
  <c r="G732" i="1"/>
  <c r="G733" i="1"/>
  <c r="G734" i="1"/>
  <c r="G735" i="1"/>
  <c r="H730" i="1"/>
  <c r="H731" i="1"/>
  <c r="H732" i="1"/>
  <c r="H733" i="1"/>
  <c r="H734" i="1"/>
  <c r="H735" i="1"/>
  <c r="G728" i="1"/>
  <c r="G729" i="1"/>
  <c r="H728" i="1"/>
  <c r="H729" i="1"/>
  <c r="G725" i="1"/>
  <c r="G726" i="1"/>
  <c r="G727" i="1"/>
  <c r="H725" i="1"/>
  <c r="H726" i="1"/>
  <c r="H727" i="1"/>
  <c r="G724" i="1"/>
  <c r="H724" i="1"/>
  <c r="G723" i="1"/>
  <c r="H723" i="1"/>
  <c r="G717" i="1"/>
  <c r="G718" i="1"/>
  <c r="G719" i="1"/>
  <c r="G720" i="1"/>
  <c r="G721" i="1"/>
  <c r="G722" i="1"/>
  <c r="H717" i="1"/>
  <c r="H718" i="1"/>
  <c r="H719" i="1"/>
  <c r="H720" i="1"/>
  <c r="H721" i="1"/>
  <c r="H722" i="1"/>
  <c r="G708" i="1"/>
  <c r="G709" i="1"/>
  <c r="G710" i="1"/>
  <c r="G711" i="1"/>
  <c r="G712" i="1"/>
  <c r="G713" i="1"/>
  <c r="G714" i="1"/>
  <c r="G715" i="1"/>
  <c r="G716" i="1"/>
  <c r="H708" i="1"/>
  <c r="H709" i="1"/>
  <c r="H710" i="1"/>
  <c r="H711" i="1"/>
  <c r="H712" i="1"/>
  <c r="H713" i="1"/>
  <c r="H714" i="1"/>
  <c r="H715" i="1"/>
  <c r="H716" i="1"/>
  <c r="G707" i="1"/>
  <c r="H707" i="1"/>
  <c r="G699" i="1"/>
  <c r="G700" i="1"/>
  <c r="G701" i="1"/>
  <c r="G702" i="1"/>
  <c r="G703" i="1"/>
  <c r="G704" i="1"/>
  <c r="G705" i="1"/>
  <c r="G706" i="1"/>
  <c r="H699" i="1"/>
  <c r="H700" i="1"/>
  <c r="H701" i="1"/>
  <c r="H702" i="1"/>
  <c r="H703" i="1"/>
  <c r="H704" i="1"/>
  <c r="H705" i="1"/>
  <c r="H706" i="1"/>
  <c r="G689" i="1"/>
  <c r="G690" i="1"/>
  <c r="G691" i="1"/>
  <c r="G692" i="1"/>
  <c r="G693" i="1"/>
  <c r="G694" i="1"/>
  <c r="G695" i="1"/>
  <c r="G696" i="1"/>
  <c r="G697" i="1"/>
  <c r="G698" i="1"/>
  <c r="H689" i="1"/>
  <c r="H690" i="1"/>
  <c r="H691" i="1"/>
  <c r="H692" i="1"/>
  <c r="H693" i="1"/>
  <c r="H694" i="1"/>
  <c r="H695" i="1"/>
  <c r="H696" i="1"/>
  <c r="H697" i="1"/>
  <c r="H698" i="1"/>
  <c r="G688" i="1"/>
  <c r="H688" i="1"/>
  <c r="G684" i="1"/>
  <c r="G685" i="1"/>
  <c r="G686" i="1"/>
  <c r="G687" i="1"/>
  <c r="H684" i="1"/>
  <c r="H685" i="1"/>
  <c r="H686" i="1"/>
  <c r="H687" i="1"/>
  <c r="G683" i="1"/>
  <c r="H683" i="1"/>
  <c r="G678" i="1"/>
  <c r="G679" i="1"/>
  <c r="G680" i="1"/>
  <c r="G681" i="1"/>
  <c r="G682" i="1"/>
  <c r="H678" i="1"/>
  <c r="H679" i="1"/>
  <c r="H680" i="1"/>
  <c r="H681" i="1"/>
  <c r="H682" i="1"/>
  <c r="G675" i="1"/>
  <c r="G676" i="1"/>
  <c r="G677" i="1"/>
  <c r="H675" i="1"/>
  <c r="H676" i="1"/>
  <c r="H677" i="1"/>
  <c r="G670" i="1"/>
  <c r="G671" i="1"/>
  <c r="G672" i="1"/>
  <c r="G673" i="1"/>
  <c r="G674" i="1"/>
  <c r="H670" i="1"/>
  <c r="H671" i="1"/>
  <c r="H672" i="1"/>
  <c r="H673" i="1"/>
  <c r="H674" i="1"/>
  <c r="G668" i="1"/>
  <c r="G669" i="1"/>
  <c r="H668" i="1"/>
  <c r="H669" i="1"/>
  <c r="G665" i="1"/>
  <c r="G666" i="1"/>
  <c r="G667" i="1"/>
  <c r="H665" i="1"/>
  <c r="H666" i="1"/>
  <c r="H667" i="1"/>
  <c r="G657" i="1"/>
  <c r="G658" i="1"/>
  <c r="G659" i="1"/>
  <c r="G660" i="1"/>
  <c r="G661" i="1"/>
  <c r="G662" i="1"/>
  <c r="G663" i="1"/>
  <c r="G664" i="1"/>
  <c r="H657" i="1"/>
  <c r="H658" i="1"/>
  <c r="H659" i="1"/>
  <c r="H660" i="1"/>
  <c r="H661" i="1"/>
  <c r="H662" i="1"/>
  <c r="H663" i="1"/>
  <c r="H664" i="1"/>
  <c r="G650" i="1"/>
  <c r="G651" i="1"/>
  <c r="G652" i="1"/>
  <c r="G653" i="1"/>
  <c r="G654" i="1"/>
  <c r="G655" i="1"/>
  <c r="G656" i="1"/>
  <c r="H650" i="1"/>
  <c r="H651" i="1"/>
  <c r="H652" i="1"/>
  <c r="H653" i="1"/>
  <c r="H654" i="1"/>
  <c r="H655" i="1"/>
  <c r="H656" i="1"/>
  <c r="G649" i="1"/>
  <c r="H649" i="1"/>
  <c r="G635" i="1"/>
  <c r="G636" i="1"/>
  <c r="G637" i="1"/>
  <c r="G638" i="1"/>
  <c r="G639" i="1"/>
  <c r="G640" i="1"/>
  <c r="G641" i="1"/>
  <c r="G642" i="1"/>
  <c r="G643" i="1"/>
  <c r="G644" i="1"/>
  <c r="G645" i="1"/>
  <c r="G646" i="1"/>
  <c r="G647" i="1"/>
  <c r="G648" i="1"/>
  <c r="H635" i="1"/>
  <c r="H636" i="1"/>
  <c r="H637" i="1"/>
  <c r="H638" i="1"/>
  <c r="H639" i="1"/>
  <c r="H640" i="1"/>
  <c r="H641" i="1"/>
  <c r="H642" i="1"/>
  <c r="H643" i="1"/>
  <c r="H644" i="1"/>
  <c r="H645" i="1"/>
  <c r="H646" i="1"/>
  <c r="H647" i="1"/>
  <c r="H648" i="1"/>
  <c r="G626" i="1"/>
  <c r="G627" i="1"/>
  <c r="G628" i="1"/>
  <c r="G629" i="1"/>
  <c r="G630" i="1"/>
  <c r="G631" i="1"/>
  <c r="G632" i="1"/>
  <c r="G633" i="1"/>
  <c r="G634" i="1"/>
  <c r="H626" i="1"/>
  <c r="H627" i="1"/>
  <c r="H628" i="1"/>
  <c r="H629" i="1"/>
  <c r="H630" i="1"/>
  <c r="H631" i="1"/>
  <c r="H632" i="1"/>
  <c r="H633" i="1"/>
  <c r="H634" i="1"/>
  <c r="G623" i="1"/>
  <c r="G624" i="1"/>
  <c r="G625" i="1"/>
  <c r="H623" i="1"/>
  <c r="H624" i="1"/>
  <c r="H625" i="1"/>
  <c r="G621" i="1"/>
  <c r="G622" i="1"/>
  <c r="H621" i="1"/>
  <c r="H622" i="1"/>
  <c r="G616" i="1"/>
  <c r="G617" i="1"/>
  <c r="G618" i="1"/>
  <c r="G619" i="1"/>
  <c r="G620" i="1"/>
  <c r="H616" i="1"/>
  <c r="H617" i="1"/>
  <c r="H618" i="1"/>
  <c r="H619" i="1"/>
  <c r="H620" i="1"/>
  <c r="G611" i="1"/>
  <c r="G612" i="1"/>
  <c r="G613" i="1"/>
  <c r="G614" i="1"/>
  <c r="G615" i="1"/>
  <c r="H611" i="1"/>
  <c r="H612" i="1"/>
  <c r="H613" i="1"/>
  <c r="H614" i="1"/>
  <c r="H615" i="1"/>
  <c r="G610" i="1"/>
  <c r="H610" i="1"/>
  <c r="G607" i="1"/>
  <c r="G608" i="1"/>
  <c r="G609" i="1"/>
  <c r="H607" i="1"/>
  <c r="H608" i="1"/>
  <c r="H609" i="1"/>
  <c r="G603" i="1"/>
  <c r="G604" i="1"/>
  <c r="G605" i="1"/>
  <c r="G606" i="1"/>
  <c r="H603" i="1"/>
  <c r="H604" i="1"/>
  <c r="H605" i="1"/>
  <c r="H606" i="1"/>
  <c r="G599" i="1"/>
  <c r="G600" i="1"/>
  <c r="G601" i="1"/>
  <c r="G602" i="1"/>
  <c r="H599" i="1"/>
  <c r="H600" i="1"/>
  <c r="H601" i="1"/>
  <c r="H602" i="1"/>
  <c r="G582" i="1"/>
  <c r="G583" i="1"/>
  <c r="G584" i="1"/>
  <c r="G585" i="1"/>
  <c r="G586" i="1"/>
  <c r="G587" i="1"/>
  <c r="G588" i="1"/>
  <c r="G589" i="1"/>
  <c r="G590" i="1"/>
  <c r="G591" i="1"/>
  <c r="G592" i="1"/>
  <c r="G593" i="1"/>
  <c r="G594" i="1"/>
  <c r="G595" i="1"/>
  <c r="G596" i="1"/>
  <c r="G597" i="1"/>
  <c r="G598" i="1"/>
  <c r="H582" i="1"/>
  <c r="H583" i="1"/>
  <c r="H584" i="1"/>
  <c r="H585" i="1"/>
  <c r="H586" i="1"/>
  <c r="H587" i="1"/>
  <c r="H588" i="1"/>
  <c r="H589" i="1"/>
  <c r="H590" i="1"/>
  <c r="H591" i="1"/>
  <c r="H592" i="1"/>
  <c r="H593" i="1"/>
  <c r="H594" i="1"/>
  <c r="H595" i="1"/>
  <c r="H596" i="1"/>
  <c r="H597" i="1"/>
  <c r="H598" i="1"/>
  <c r="G573" i="1"/>
  <c r="G574" i="1"/>
  <c r="G575" i="1"/>
  <c r="G576" i="1"/>
  <c r="G577" i="1"/>
  <c r="G578" i="1"/>
  <c r="G579" i="1"/>
  <c r="G580" i="1"/>
  <c r="G581" i="1"/>
  <c r="H573" i="1"/>
  <c r="H574" i="1"/>
  <c r="H575" i="1"/>
  <c r="H576" i="1"/>
  <c r="H577" i="1"/>
  <c r="H578" i="1"/>
  <c r="H579" i="1"/>
  <c r="H580" i="1"/>
  <c r="H581" i="1"/>
  <c r="G560" i="1"/>
  <c r="G561" i="1"/>
  <c r="G562" i="1"/>
  <c r="G563" i="1"/>
  <c r="G564" i="1"/>
  <c r="G565" i="1"/>
  <c r="G566" i="1"/>
  <c r="G567" i="1"/>
  <c r="G568" i="1"/>
  <c r="G569" i="1"/>
  <c r="G570" i="1"/>
  <c r="G571" i="1"/>
  <c r="G572" i="1"/>
  <c r="H560" i="1"/>
  <c r="H561" i="1"/>
  <c r="H562" i="1"/>
  <c r="H563" i="1"/>
  <c r="H564" i="1"/>
  <c r="H565" i="1"/>
  <c r="H566" i="1"/>
  <c r="H567" i="1"/>
  <c r="H568" i="1"/>
  <c r="H569" i="1"/>
  <c r="H570" i="1"/>
  <c r="H571" i="1"/>
  <c r="H572" i="1"/>
  <c r="G553" i="1"/>
  <c r="G554" i="1"/>
  <c r="G555" i="1"/>
  <c r="G556" i="1"/>
  <c r="G557" i="1"/>
  <c r="G558" i="1"/>
  <c r="G559" i="1"/>
  <c r="H553" i="1"/>
  <c r="H554" i="1"/>
  <c r="H555" i="1"/>
  <c r="H556" i="1"/>
  <c r="H557" i="1"/>
  <c r="H558" i="1"/>
  <c r="H559" i="1"/>
  <c r="G552" i="1"/>
  <c r="H552" i="1"/>
  <c r="G550" i="1"/>
  <c r="G551" i="1"/>
  <c r="H550" i="1"/>
  <c r="H551" i="1"/>
  <c r="G546" i="1"/>
  <c r="G547" i="1"/>
  <c r="G548" i="1"/>
  <c r="G549" i="1"/>
  <c r="H546" i="1"/>
  <c r="H547" i="1"/>
  <c r="H548" i="1"/>
  <c r="H549" i="1"/>
  <c r="G542" i="1"/>
  <c r="G543" i="1"/>
  <c r="G544" i="1"/>
  <c r="G545" i="1"/>
  <c r="H542" i="1"/>
  <c r="H543" i="1"/>
  <c r="H544" i="1"/>
  <c r="H545" i="1"/>
  <c r="G541" i="1"/>
  <c r="H541" i="1"/>
  <c r="G538" i="1"/>
  <c r="G539" i="1"/>
  <c r="G540" i="1"/>
  <c r="H538" i="1"/>
  <c r="H539" i="1"/>
  <c r="H540" i="1"/>
  <c r="G536" i="1"/>
  <c r="G537" i="1"/>
  <c r="H536" i="1"/>
  <c r="H537" i="1"/>
  <c r="G530" i="1"/>
  <c r="G531" i="1"/>
  <c r="G532" i="1"/>
  <c r="G533" i="1"/>
  <c r="G534" i="1"/>
  <c r="G535" i="1"/>
  <c r="H530" i="1"/>
  <c r="H531" i="1"/>
  <c r="H532" i="1"/>
  <c r="H533" i="1"/>
  <c r="H534" i="1"/>
  <c r="H535" i="1"/>
  <c r="G517" i="1"/>
  <c r="G518" i="1"/>
  <c r="G519" i="1"/>
  <c r="G520" i="1"/>
  <c r="G521" i="1"/>
  <c r="G522" i="1"/>
  <c r="G523" i="1"/>
  <c r="G524" i="1"/>
  <c r="G525" i="1"/>
  <c r="G526" i="1"/>
  <c r="G527" i="1"/>
  <c r="G528" i="1"/>
  <c r="G529" i="1"/>
  <c r="H517" i="1"/>
  <c r="H518" i="1"/>
  <c r="H519" i="1"/>
  <c r="H520" i="1"/>
  <c r="H521" i="1"/>
  <c r="H522" i="1"/>
  <c r="H523" i="1"/>
  <c r="H524" i="1"/>
  <c r="H525" i="1"/>
  <c r="H526" i="1"/>
  <c r="H527" i="1"/>
  <c r="H528" i="1"/>
  <c r="H529" i="1"/>
  <c r="G516" i="1"/>
  <c r="H516" i="1"/>
  <c r="G499" i="1"/>
  <c r="G500" i="1"/>
  <c r="G501" i="1"/>
  <c r="G502" i="1"/>
  <c r="G503" i="1"/>
  <c r="G504" i="1"/>
  <c r="G505" i="1"/>
  <c r="G506" i="1"/>
  <c r="G507" i="1"/>
  <c r="G508" i="1"/>
  <c r="G509" i="1"/>
  <c r="G510" i="1"/>
  <c r="G511" i="1"/>
  <c r="G512" i="1"/>
  <c r="G513" i="1"/>
  <c r="G514" i="1"/>
  <c r="G515" i="1"/>
  <c r="H499" i="1"/>
  <c r="H500" i="1"/>
  <c r="H501" i="1"/>
  <c r="H502" i="1"/>
  <c r="H503" i="1"/>
  <c r="H504" i="1"/>
  <c r="H505" i="1"/>
  <c r="H506" i="1"/>
  <c r="H507" i="1"/>
  <c r="H508" i="1"/>
  <c r="H509" i="1"/>
  <c r="H510" i="1"/>
  <c r="H511" i="1"/>
  <c r="H512" i="1"/>
  <c r="H513" i="1"/>
  <c r="H514" i="1"/>
  <c r="H515" i="1"/>
  <c r="G487" i="1"/>
  <c r="G488" i="1"/>
  <c r="G489" i="1"/>
  <c r="G490" i="1"/>
  <c r="G491" i="1"/>
  <c r="G492" i="1"/>
  <c r="G493" i="1"/>
  <c r="G494" i="1"/>
  <c r="G495" i="1"/>
  <c r="G496" i="1"/>
  <c r="G497" i="1"/>
  <c r="G498" i="1"/>
  <c r="H487" i="1"/>
  <c r="H488" i="1"/>
  <c r="H489" i="1"/>
  <c r="H490" i="1"/>
  <c r="H491" i="1"/>
  <c r="H492" i="1"/>
  <c r="H493" i="1"/>
  <c r="H494" i="1"/>
  <c r="H495" i="1"/>
  <c r="H496" i="1"/>
  <c r="H497" i="1"/>
  <c r="H498" i="1"/>
  <c r="G486" i="1"/>
  <c r="H486" i="1"/>
  <c r="G482" i="1"/>
  <c r="G483" i="1"/>
  <c r="G484" i="1"/>
  <c r="G485" i="1"/>
  <c r="H482" i="1"/>
  <c r="H483" i="1"/>
  <c r="H484" i="1"/>
  <c r="H485" i="1"/>
  <c r="G477" i="1"/>
  <c r="G478" i="1"/>
  <c r="G479" i="1"/>
  <c r="G480" i="1"/>
  <c r="G481" i="1"/>
  <c r="H477" i="1"/>
  <c r="H478" i="1"/>
  <c r="H479" i="1"/>
  <c r="H480" i="1"/>
  <c r="H481" i="1"/>
  <c r="G470" i="1"/>
  <c r="G471" i="1"/>
  <c r="G472" i="1"/>
  <c r="G473" i="1"/>
  <c r="G474" i="1"/>
  <c r="G475" i="1"/>
  <c r="G476" i="1"/>
  <c r="H470" i="1"/>
  <c r="H471" i="1"/>
  <c r="H472" i="1"/>
  <c r="H473" i="1"/>
  <c r="H474" i="1"/>
  <c r="H475" i="1"/>
  <c r="H476" i="1"/>
  <c r="G466" i="1"/>
  <c r="G467" i="1"/>
  <c r="G468" i="1"/>
  <c r="G469" i="1"/>
  <c r="H466" i="1"/>
  <c r="H467" i="1"/>
  <c r="H468" i="1"/>
  <c r="H469" i="1"/>
  <c r="G460" i="1"/>
  <c r="G461" i="1"/>
  <c r="G462" i="1"/>
  <c r="G463" i="1"/>
  <c r="G464" i="1"/>
  <c r="G465" i="1"/>
  <c r="H460" i="1"/>
  <c r="H461" i="1"/>
  <c r="H462" i="1"/>
  <c r="H463" i="1"/>
  <c r="H464" i="1"/>
  <c r="H465" i="1"/>
  <c r="G459" i="1"/>
  <c r="H459" i="1"/>
  <c r="G458" i="1"/>
  <c r="H458" i="1"/>
  <c r="G457" i="1"/>
  <c r="H457" i="1"/>
  <c r="G439" i="1"/>
  <c r="G440" i="1"/>
  <c r="G441" i="1"/>
  <c r="G442" i="1"/>
  <c r="G443" i="1"/>
  <c r="G444" i="1"/>
  <c r="G445" i="1"/>
  <c r="G446" i="1"/>
  <c r="G447" i="1"/>
  <c r="G448" i="1"/>
  <c r="G449" i="1"/>
  <c r="G450" i="1"/>
  <c r="G451" i="1"/>
  <c r="G452" i="1"/>
  <c r="G453" i="1"/>
  <c r="G454" i="1"/>
  <c r="G455" i="1"/>
  <c r="G456" i="1"/>
  <c r="H439" i="1"/>
  <c r="H440" i="1"/>
  <c r="H441" i="1"/>
  <c r="H442" i="1"/>
  <c r="H443" i="1"/>
  <c r="H444" i="1"/>
  <c r="H445" i="1"/>
  <c r="H446" i="1"/>
  <c r="H447" i="1"/>
  <c r="H448" i="1"/>
  <c r="H449" i="1"/>
  <c r="H450" i="1"/>
  <c r="H451" i="1"/>
  <c r="H452" i="1"/>
  <c r="H453" i="1"/>
  <c r="H454" i="1"/>
  <c r="H455" i="1"/>
  <c r="H456" i="1"/>
  <c r="G432" i="1"/>
  <c r="G433" i="1"/>
  <c r="G434" i="1"/>
  <c r="G435" i="1"/>
  <c r="G436" i="1"/>
  <c r="G437" i="1"/>
  <c r="G438" i="1"/>
  <c r="H432" i="1"/>
  <c r="H433" i="1"/>
  <c r="H434" i="1"/>
  <c r="H435" i="1"/>
  <c r="H436" i="1"/>
  <c r="H437" i="1"/>
  <c r="H438" i="1"/>
  <c r="G412" i="1"/>
  <c r="G413" i="1"/>
  <c r="G414" i="1"/>
  <c r="G415" i="1"/>
  <c r="G416" i="1"/>
  <c r="G417" i="1"/>
  <c r="G418" i="1"/>
  <c r="G419" i="1"/>
  <c r="G420" i="1"/>
  <c r="G421" i="1"/>
  <c r="G422" i="1"/>
  <c r="G423" i="1"/>
  <c r="G424" i="1"/>
  <c r="G425" i="1"/>
  <c r="G426" i="1"/>
  <c r="G427" i="1"/>
  <c r="G428" i="1"/>
  <c r="G429" i="1"/>
  <c r="G430" i="1"/>
  <c r="G431" i="1"/>
  <c r="H412" i="1"/>
  <c r="H413" i="1"/>
  <c r="H414" i="1"/>
  <c r="H415" i="1"/>
  <c r="H416" i="1"/>
  <c r="H417" i="1"/>
  <c r="H418" i="1"/>
  <c r="H419" i="1"/>
  <c r="H420" i="1"/>
  <c r="H421" i="1"/>
  <c r="H422" i="1"/>
  <c r="H423" i="1"/>
  <c r="H424" i="1"/>
  <c r="H425" i="1"/>
  <c r="H426" i="1"/>
  <c r="H427" i="1"/>
  <c r="H428" i="1"/>
  <c r="H429" i="1"/>
  <c r="H430" i="1"/>
  <c r="H431" i="1"/>
  <c r="G409" i="1"/>
  <c r="G410" i="1"/>
  <c r="G411" i="1"/>
  <c r="H409" i="1"/>
  <c r="H410" i="1"/>
  <c r="H411" i="1"/>
  <c r="G406" i="1"/>
  <c r="G407" i="1"/>
  <c r="G408" i="1"/>
  <c r="H406" i="1"/>
  <c r="H407" i="1"/>
  <c r="H408" i="1"/>
  <c r="G405" i="1"/>
  <c r="H405" i="1"/>
  <c r="G403" i="1"/>
  <c r="G404" i="1"/>
  <c r="H403" i="1"/>
  <c r="H404" i="1"/>
  <c r="G399" i="1"/>
  <c r="G400" i="1"/>
  <c r="G401" i="1"/>
  <c r="G402" i="1"/>
  <c r="H399" i="1"/>
  <c r="H400" i="1"/>
  <c r="H401" i="1"/>
  <c r="H402" i="1"/>
  <c r="G396" i="1"/>
  <c r="G397" i="1"/>
  <c r="G398" i="1"/>
  <c r="H396" i="1"/>
  <c r="H397" i="1"/>
  <c r="H398" i="1"/>
  <c r="G390" i="1"/>
  <c r="G391" i="1"/>
  <c r="G392" i="1"/>
  <c r="G393" i="1"/>
  <c r="G394" i="1"/>
  <c r="G395" i="1"/>
  <c r="H390" i="1"/>
  <c r="H391" i="1"/>
  <c r="H392" i="1"/>
  <c r="H393" i="1"/>
  <c r="H394" i="1"/>
  <c r="H395" i="1"/>
  <c r="G386" i="1"/>
  <c r="G387" i="1"/>
  <c r="G388" i="1"/>
  <c r="G389" i="1"/>
  <c r="H386" i="1"/>
  <c r="H387" i="1"/>
  <c r="H388" i="1"/>
  <c r="H389" i="1"/>
  <c r="G381" i="1"/>
  <c r="G382" i="1"/>
  <c r="G383" i="1"/>
  <c r="G384" i="1"/>
  <c r="G385" i="1"/>
  <c r="H381" i="1"/>
  <c r="H382" i="1"/>
  <c r="H383" i="1"/>
  <c r="H384" i="1"/>
  <c r="H385" i="1"/>
  <c r="G372" i="1"/>
  <c r="G373" i="1"/>
  <c r="G374" i="1"/>
  <c r="G375" i="1"/>
  <c r="G376" i="1"/>
  <c r="G377" i="1"/>
  <c r="G378" i="1"/>
  <c r="G379" i="1"/>
  <c r="G380" i="1"/>
  <c r="H372" i="1"/>
  <c r="H373" i="1"/>
  <c r="H374" i="1"/>
  <c r="H375" i="1"/>
  <c r="H376" i="1"/>
  <c r="H377" i="1"/>
  <c r="H378" i="1"/>
  <c r="H379" i="1"/>
  <c r="H380" i="1"/>
  <c r="G369" i="1"/>
  <c r="G370" i="1"/>
  <c r="G371" i="1"/>
  <c r="H369" i="1"/>
  <c r="H370" i="1"/>
  <c r="H371" i="1"/>
  <c r="G355" i="1"/>
  <c r="G356" i="1"/>
  <c r="G357" i="1"/>
  <c r="G358" i="1"/>
  <c r="G359" i="1"/>
  <c r="G360" i="1"/>
  <c r="G361" i="1"/>
  <c r="G362" i="1"/>
  <c r="G363" i="1"/>
  <c r="G364" i="1"/>
  <c r="G365" i="1"/>
  <c r="G366" i="1"/>
  <c r="G367" i="1"/>
  <c r="G368" i="1"/>
  <c r="H355" i="1"/>
  <c r="H356" i="1"/>
  <c r="H357" i="1"/>
  <c r="H358" i="1"/>
  <c r="H359" i="1"/>
  <c r="H360" i="1"/>
  <c r="H361" i="1"/>
  <c r="H362" i="1"/>
  <c r="H363" i="1"/>
  <c r="H364" i="1"/>
  <c r="H365" i="1"/>
  <c r="H366" i="1"/>
  <c r="H367" i="1"/>
  <c r="H368" i="1"/>
  <c r="G343" i="1"/>
  <c r="G344" i="1"/>
  <c r="G345" i="1"/>
  <c r="G346" i="1"/>
  <c r="G347" i="1"/>
  <c r="G348" i="1"/>
  <c r="G349" i="1"/>
  <c r="G350" i="1"/>
  <c r="G351" i="1"/>
  <c r="G352" i="1"/>
  <c r="G353" i="1"/>
  <c r="G354" i="1"/>
  <c r="H343" i="1"/>
  <c r="H344" i="1"/>
  <c r="H345" i="1"/>
  <c r="H346" i="1"/>
  <c r="H347" i="1"/>
  <c r="H348" i="1"/>
  <c r="H349" i="1"/>
  <c r="H350" i="1"/>
  <c r="H351" i="1"/>
  <c r="H352" i="1"/>
  <c r="H353" i="1"/>
  <c r="H354" i="1"/>
  <c r="G338" i="1"/>
  <c r="G339" i="1"/>
  <c r="G340" i="1"/>
  <c r="G341" i="1"/>
  <c r="G342" i="1"/>
  <c r="H338" i="1"/>
  <c r="H339" i="1"/>
  <c r="H340" i="1"/>
  <c r="H341" i="1"/>
  <c r="H342" i="1"/>
  <c r="G334" i="1"/>
  <c r="G335" i="1"/>
  <c r="G336" i="1"/>
  <c r="G337" i="1"/>
  <c r="H334" i="1"/>
  <c r="H335" i="1"/>
  <c r="H336" i="1"/>
  <c r="H337" i="1"/>
  <c r="G333" i="1"/>
  <c r="H333" i="1"/>
  <c r="G328" i="1"/>
  <c r="G329" i="1"/>
  <c r="G330" i="1"/>
  <c r="G331" i="1"/>
  <c r="G332" i="1"/>
  <c r="H328" i="1"/>
  <c r="H329" i="1"/>
  <c r="H330" i="1"/>
  <c r="H331" i="1"/>
  <c r="H332" i="1"/>
  <c r="G325" i="1"/>
  <c r="G326" i="1"/>
  <c r="G327" i="1"/>
  <c r="H325" i="1"/>
  <c r="H326" i="1"/>
  <c r="H327" i="1"/>
  <c r="G321" i="1"/>
  <c r="G322" i="1"/>
  <c r="G323" i="1"/>
  <c r="G324" i="1"/>
  <c r="H321" i="1"/>
  <c r="H322" i="1"/>
  <c r="H323" i="1"/>
  <c r="H324" i="1"/>
  <c r="G319" i="1"/>
  <c r="G320" i="1"/>
  <c r="H319" i="1"/>
  <c r="H320" i="1"/>
  <c r="G318" i="1"/>
  <c r="H318" i="1"/>
  <c r="G305" i="1"/>
  <c r="G306" i="1"/>
  <c r="G307" i="1"/>
  <c r="G308" i="1"/>
  <c r="G309" i="1"/>
  <c r="G310" i="1"/>
  <c r="G311" i="1"/>
  <c r="G312" i="1"/>
  <c r="G313" i="1"/>
  <c r="G314" i="1"/>
  <c r="G315" i="1"/>
  <c r="G316" i="1"/>
  <c r="G317" i="1"/>
  <c r="H305" i="1"/>
  <c r="H306" i="1"/>
  <c r="H307" i="1"/>
  <c r="H308" i="1"/>
  <c r="H309" i="1"/>
  <c r="H310" i="1"/>
  <c r="H311" i="1"/>
  <c r="H312" i="1"/>
  <c r="H313" i="1"/>
  <c r="H314" i="1"/>
  <c r="H315" i="1"/>
  <c r="H316" i="1"/>
  <c r="H317" i="1"/>
  <c r="G301" i="1"/>
  <c r="G302" i="1"/>
  <c r="G303" i="1"/>
  <c r="G304" i="1"/>
  <c r="H301" i="1"/>
  <c r="H302" i="1"/>
  <c r="H303" i="1"/>
  <c r="H304" i="1"/>
  <c r="G298" i="1"/>
  <c r="G299" i="1"/>
  <c r="G300" i="1"/>
  <c r="H298" i="1"/>
  <c r="H299" i="1"/>
  <c r="H300" i="1"/>
  <c r="G281" i="1"/>
  <c r="G282" i="1"/>
  <c r="G283" i="1"/>
  <c r="G284" i="1"/>
  <c r="G285" i="1"/>
  <c r="G286" i="1"/>
  <c r="G287" i="1"/>
  <c r="G288" i="1"/>
  <c r="G289" i="1"/>
  <c r="G290" i="1"/>
  <c r="G291" i="1"/>
  <c r="G292" i="1"/>
  <c r="G293" i="1"/>
  <c r="G294" i="1"/>
  <c r="G295" i="1"/>
  <c r="G296" i="1"/>
  <c r="G297" i="1"/>
  <c r="H281" i="1"/>
  <c r="H282" i="1"/>
  <c r="H283" i="1"/>
  <c r="H284" i="1"/>
  <c r="H285" i="1"/>
  <c r="H286" i="1"/>
  <c r="H287" i="1"/>
  <c r="H288" i="1"/>
  <c r="H289" i="1"/>
  <c r="H290" i="1"/>
  <c r="H291" i="1"/>
  <c r="H292" i="1"/>
  <c r="H293" i="1"/>
  <c r="H294" i="1"/>
  <c r="H295" i="1"/>
  <c r="H296" i="1"/>
  <c r="H297" i="1"/>
  <c r="G269" i="1"/>
  <c r="G270" i="1"/>
  <c r="G271" i="1"/>
  <c r="G272" i="1"/>
  <c r="G273" i="1"/>
  <c r="G274" i="1"/>
  <c r="G275" i="1"/>
  <c r="G276" i="1"/>
  <c r="G277" i="1"/>
  <c r="G278" i="1"/>
  <c r="G279" i="1"/>
  <c r="G280" i="1"/>
  <c r="H269" i="1"/>
  <c r="H270" i="1"/>
  <c r="H271" i="1"/>
  <c r="H272" i="1"/>
  <c r="H273" i="1"/>
  <c r="H274" i="1"/>
  <c r="H275" i="1"/>
  <c r="H276" i="1"/>
  <c r="H277" i="1"/>
  <c r="H278" i="1"/>
  <c r="H279" i="1"/>
  <c r="H280" i="1"/>
  <c r="G266" i="1"/>
  <c r="G267" i="1"/>
  <c r="G268" i="1"/>
  <c r="H266" i="1"/>
  <c r="H267" i="1"/>
  <c r="H268" i="1"/>
  <c r="G264" i="1"/>
  <c r="G265" i="1"/>
  <c r="H264" i="1"/>
  <c r="H265" i="1"/>
  <c r="G261" i="1"/>
  <c r="G262" i="1"/>
  <c r="G263" i="1"/>
  <c r="H261" i="1"/>
  <c r="H262" i="1"/>
  <c r="H263" i="1"/>
  <c r="G256" i="1"/>
  <c r="G257" i="1"/>
  <c r="G258" i="1"/>
  <c r="G259" i="1"/>
  <c r="G260" i="1"/>
  <c r="H256" i="1"/>
  <c r="H257" i="1"/>
  <c r="H258" i="1"/>
  <c r="H259" i="1"/>
  <c r="H260" i="1"/>
  <c r="G254" i="1"/>
  <c r="G255" i="1"/>
  <c r="H254" i="1"/>
  <c r="H255" i="1"/>
  <c r="G253" i="1"/>
  <c r="H253" i="1"/>
  <c r="G250" i="1"/>
  <c r="G251" i="1"/>
  <c r="G252" i="1"/>
  <c r="H250" i="1"/>
  <c r="H251" i="1"/>
  <c r="H252" i="1"/>
  <c r="G244" i="1"/>
  <c r="G245" i="1"/>
  <c r="G246" i="1"/>
  <c r="G247" i="1"/>
  <c r="G248" i="1"/>
  <c r="G249" i="1"/>
  <c r="H244" i="1"/>
  <c r="H245" i="1"/>
  <c r="H246" i="1"/>
  <c r="H247" i="1"/>
  <c r="H248" i="1"/>
  <c r="H249" i="1"/>
  <c r="G235" i="1"/>
  <c r="G236" i="1"/>
  <c r="G237" i="1"/>
  <c r="G238" i="1"/>
  <c r="G239" i="1"/>
  <c r="G240" i="1"/>
  <c r="G241" i="1"/>
  <c r="G242" i="1"/>
  <c r="G243" i="1"/>
  <c r="H235" i="1"/>
  <c r="H236" i="1"/>
  <c r="H237" i="1"/>
  <c r="H238" i="1"/>
  <c r="H239" i="1"/>
  <c r="H240" i="1"/>
  <c r="H241" i="1"/>
  <c r="H242" i="1"/>
  <c r="H243" i="1"/>
  <c r="G233" i="1"/>
  <c r="G234" i="1"/>
  <c r="H233" i="1"/>
  <c r="H234" i="1"/>
  <c r="G222" i="1"/>
  <c r="G223" i="1"/>
  <c r="G224" i="1"/>
  <c r="G225" i="1"/>
  <c r="G226" i="1"/>
  <c r="G227" i="1"/>
  <c r="G228" i="1"/>
  <c r="G229" i="1"/>
  <c r="G230" i="1"/>
  <c r="G231" i="1"/>
  <c r="G232" i="1"/>
  <c r="H222" i="1"/>
  <c r="H223" i="1"/>
  <c r="H224" i="1"/>
  <c r="H225" i="1"/>
  <c r="H226" i="1"/>
  <c r="H227" i="1"/>
  <c r="H228" i="1"/>
  <c r="H229" i="1"/>
  <c r="H230" i="1"/>
  <c r="H231" i="1"/>
  <c r="H232" i="1"/>
  <c r="G210" i="1"/>
  <c r="G211" i="1"/>
  <c r="G212" i="1"/>
  <c r="G213" i="1"/>
  <c r="G214" i="1"/>
  <c r="G215" i="1"/>
  <c r="G216" i="1"/>
  <c r="G217" i="1"/>
  <c r="G218" i="1"/>
  <c r="G219" i="1"/>
  <c r="G220" i="1"/>
  <c r="G221" i="1"/>
  <c r="H210" i="1"/>
  <c r="H211" i="1"/>
  <c r="H212" i="1"/>
  <c r="H213" i="1"/>
  <c r="H214" i="1"/>
  <c r="H215" i="1"/>
  <c r="H216" i="1"/>
  <c r="H217" i="1"/>
  <c r="H218" i="1"/>
  <c r="H219" i="1"/>
  <c r="H220" i="1"/>
  <c r="H221" i="1"/>
  <c r="G209" i="1"/>
  <c r="H209" i="1"/>
  <c r="G205" i="1"/>
  <c r="G206" i="1"/>
  <c r="G207" i="1"/>
  <c r="G208" i="1"/>
  <c r="H205" i="1"/>
  <c r="H206" i="1"/>
  <c r="H207" i="1"/>
  <c r="H208" i="1"/>
  <c r="G204" i="1"/>
  <c r="H204" i="1"/>
  <c r="G198" i="1"/>
  <c r="G199" i="1"/>
  <c r="G200" i="1"/>
  <c r="G201" i="1"/>
  <c r="G202" i="1"/>
  <c r="G203" i="1"/>
  <c r="H198" i="1"/>
  <c r="H199" i="1"/>
  <c r="H200" i="1"/>
  <c r="H201" i="1"/>
  <c r="H202" i="1"/>
  <c r="H203" i="1"/>
  <c r="G194" i="1"/>
  <c r="G195" i="1"/>
  <c r="G196" i="1"/>
  <c r="G197" i="1"/>
  <c r="H194" i="1"/>
  <c r="H195" i="1"/>
  <c r="H196" i="1"/>
  <c r="H197" i="1"/>
  <c r="G193" i="1"/>
  <c r="H193" i="1"/>
  <c r="G189" i="1"/>
  <c r="G190" i="1"/>
  <c r="G191" i="1"/>
  <c r="G192" i="1"/>
  <c r="H189" i="1"/>
  <c r="H190" i="1"/>
  <c r="H191" i="1"/>
  <c r="H192" i="1"/>
  <c r="G188" i="1"/>
  <c r="H188" i="1"/>
  <c r="G181" i="1"/>
  <c r="G182" i="1"/>
  <c r="G183" i="1"/>
  <c r="G184" i="1"/>
  <c r="G185" i="1"/>
  <c r="G186" i="1"/>
  <c r="G187" i="1"/>
  <c r="H181" i="1"/>
  <c r="H182" i="1"/>
  <c r="H183" i="1"/>
  <c r="H184" i="1"/>
  <c r="H185" i="1"/>
  <c r="H186" i="1"/>
  <c r="H187" i="1"/>
  <c r="G172" i="1"/>
  <c r="G173" i="1"/>
  <c r="G174" i="1"/>
  <c r="G175" i="1"/>
  <c r="G176" i="1"/>
  <c r="G177" i="1"/>
  <c r="G178" i="1"/>
  <c r="G179" i="1"/>
  <c r="G180" i="1"/>
  <c r="H172" i="1"/>
  <c r="H173" i="1"/>
  <c r="H174" i="1"/>
  <c r="H175" i="1"/>
  <c r="H176" i="1"/>
  <c r="H177" i="1"/>
  <c r="H178" i="1"/>
  <c r="H179" i="1"/>
  <c r="H180" i="1"/>
  <c r="G171" i="1"/>
  <c r="H171" i="1"/>
  <c r="G3" i="13"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A3"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EA7419-739D-4A6C-B110-9FB796B26A84}"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 id="2" xr16:uid="{1047255C-C797-40EE-B277-42BEF9F886B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8F8B75C-452D-4566-8898-D0C0D50F7C31}" name="WorksheetConnection_Third_World_Data.xlsx!Table1" type="102" refreshedVersion="7" minRefreshableVersion="5">
    <extLst>
      <ext xmlns:x15="http://schemas.microsoft.com/office/spreadsheetml/2010/11/main" uri="{DE250136-89BD-433C-8126-D09CA5730AF9}">
        <x15:connection id="Table1" autoDelete="1">
          <x15:rangePr sourceName="_xlcn.WorksheetConnection_Third_World_Data.xlsxTable11"/>
        </x15:connection>
      </ext>
    </extLst>
  </connection>
</connections>
</file>

<file path=xl/sharedStrings.xml><?xml version="1.0" encoding="utf-8"?>
<sst xmlns="http://schemas.openxmlformats.org/spreadsheetml/2006/main" count="1472" uniqueCount="352">
  <si>
    <t>Year</t>
  </si>
  <si>
    <t>Afghanistan</t>
  </si>
  <si>
    <t>Argentina</t>
  </si>
  <si>
    <t>Brazil</t>
  </si>
  <si>
    <t>Colombia</t>
  </si>
  <si>
    <t>India</t>
  </si>
  <si>
    <t>Indonesia</t>
  </si>
  <si>
    <t>Kenya</t>
  </si>
  <si>
    <t>Pakistan</t>
  </si>
  <si>
    <t>Peru</t>
  </si>
  <si>
    <t>Sudan</t>
  </si>
  <si>
    <t>Nepal</t>
  </si>
  <si>
    <t>Nigeria</t>
  </si>
  <si>
    <t>Ethiopia</t>
  </si>
  <si>
    <t>Napal</t>
  </si>
  <si>
    <t>Bangladesh</t>
  </si>
  <si>
    <t>Location</t>
  </si>
  <si>
    <t>Lashkar Gah Afghanistan</t>
  </si>
  <si>
    <t>Bagram Air Base Afghanistan</t>
  </si>
  <si>
    <t>Manaus Brazil	Amazonaves</t>
  </si>
  <si>
    <t>PopayÃ¡n Colombia</t>
  </si>
  <si>
    <t>Sabanagrande Colombia</t>
  </si>
  <si>
    <t>Tawang India	Pawan</t>
  </si>
  <si>
    <t>Denpasar Indonesia</t>
  </si>
  <si>
    <t>Enarotali Indonesia</t>
  </si>
  <si>
    <t>Bandung Indonesia</t>
  </si>
  <si>
    <t>Marsabit Kenya</t>
  </si>
  <si>
    <t>Islamabad Pakistan</t>
  </si>
  <si>
    <t>Pisco Peru</t>
  </si>
  <si>
    <t>Adar Yeil Sudan</t>
  </si>
  <si>
    <t>Tangi Valley Afghanistan</t>
  </si>
  <si>
    <t>Rio Branco Brazil</t>
  </si>
  <si>
    <t>Cubatao Brazil</t>
  </si>
  <si>
    <t>San Andreas Island Colombia</t>
  </si>
  <si>
    <t>Calicut India</t>
  </si>
  <si>
    <t>Ampisibil Village Indonesia</t>
  </si>
  <si>
    <t>Ninia Indonesia</t>
  </si>
  <si>
    <t>Pokhara Nepal</t>
  </si>
  <si>
    <t>Bastipur Nepal</t>
  </si>
  <si>
    <t>Talodi Sudan</t>
  </si>
  <si>
    <t>Curitiba Brazil</t>
  </si>
  <si>
    <t>Uberaba Brazil</t>
  </si>
  <si>
    <t>Puerto Carreno Colombia</t>
  </si>
  <si>
    <t>Mitu Colombia</t>
  </si>
  <si>
    <t>Palunge Hill Nepal</t>
  </si>
  <si>
    <t>Manacapuru Brazil</t>
  </si>
  <si>
    <t>Off Sarmi Indonesia_x000D_
	_x000D_
Sarmi</t>
  </si>
  <si>
    <t>Dana Nepal</t>
  </si>
  <si>
    <t>Sandhikhark Nepal</t>
  </si>
  <si>
    <t>250 miles northwest of Kathmandu Nepal</t>
  </si>
  <si>
    <t>Adraskan district Afghanistan</t>
  </si>
  <si>
    <t>Manguipayan Colombia</t>
  </si>
  <si>
    <t>El Yopal Colombia</t>
  </si>
  <si>
    <t>Busia Kenya</t>
  </si>
  <si>
    <t>Abuja Nigeria</t>
  </si>
  <si>
    <t>Shamsi AFB Pakistan</t>
  </si>
  <si>
    <t>Geneina Sudan</t>
  </si>
  <si>
    <t>Kandahar Airport Afghanistan</t>
  </si>
  <si>
    <t>Sao Paulo Brazil</t>
  </si>
  <si>
    <t>Recife Brazil</t>
  </si>
  <si>
    <t>Villavicencio Colombia</t>
  </si>
  <si>
    <t>Rawalpindi India</t>
  </si>
  <si>
    <t>Patna India</t>
  </si>
  <si>
    <t>Mount Kenya Kenya</t>
  </si>
  <si>
    <t>Jodhura Nepal</t>
  </si>
  <si>
    <t>Surkhet Nepal</t>
  </si>
  <si>
    <t>Multan Pakistan</t>
  </si>
  <si>
    <t>Port Sudan Sudan</t>
  </si>
  <si>
    <t>Belo Horizonte Brazil</t>
  </si>
  <si>
    <t>State of Arunachal Pradesh India</t>
  </si>
  <si>
    <t>Jakarta Indonesia</t>
  </si>
  <si>
    <t>Medan Indonesia</t>
  </si>
  <si>
    <t>Jayapura Indonesia</t>
  </si>
  <si>
    <t>Jumla Napal</t>
  </si>
  <si>
    <t>Lagos Nigeria</t>
  </si>
  <si>
    <t>Khartoum Sudan</t>
  </si>
  <si>
    <t>Khartoom Sudan</t>
  </si>
  <si>
    <t>Kabul Afghanistan</t>
  </si>
  <si>
    <t>Villa Castelli Argentina</t>
  </si>
  <si>
    <t>Cox's Bazar Bangladesh</t>
  </si>
  <si>
    <t>Rio Bonito Brazil</t>
  </si>
  <si>
    <t>Fazenda Nossa Senhora de Lourdes Brazil</t>
  </si>
  <si>
    <t>Vereda La Bendicion Colombia</t>
  </si>
  <si>
    <t>Bishoftu Ethiopia</t>
  </si>
  <si>
    <t>Yogyakarta Indonesia</t>
  </si>
  <si>
    <t>Mulia Indonesia</t>
  </si>
  <si>
    <t>Jadura Indonesia</t>
  </si>
  <si>
    <t>Kathmandu Nepal</t>
  </si>
  <si>
    <t>Pieri Sudan</t>
  </si>
  <si>
    <t>Salang pass Afghanistan</t>
  </si>
  <si>
    <t>El Portezulo Argentina</t>
  </si>
  <si>
    <t>Mendoza Argentina</t>
  </si>
  <si>
    <t>Carepa Colombia</t>
  </si>
  <si>
    <t>Mangalore India</t>
  </si>
  <si>
    <t>Mwingi Kenya</t>
  </si>
  <si>
    <t>Jomsom Nepal</t>
  </si>
  <si>
    <t>Tenzing Nepal</t>
  </si>
  <si>
    <t>Kano Nigeria</t>
  </si>
  <si>
    <t>Karachi Pakistan</t>
  </si>
  <si>
    <t>Dalang Sudan</t>
  </si>
  <si>
    <t>Jiech Sudan</t>
  </si>
  <si>
    <t>MedellÃ­n Colombia</t>
  </si>
  <si>
    <t>Tarakan Indonesia</t>
  </si>
  <si>
    <t>Puncak Jaya Indonesia</t>
  </si>
  <si>
    <t>Solo Indonesia</t>
  </si>
  <si>
    <t>Masai Mara Game Reserve Kenya</t>
  </si>
  <si>
    <t>Port Harcourt Nigeria</t>
  </si>
  <si>
    <t>Lima Peru</t>
  </si>
  <si>
    <t>Jalalabad Afghanistan</t>
  </si>
  <si>
    <t>Buenos Aires Argentina</t>
  </si>
  <si>
    <t>Vasco India</t>
  </si>
  <si>
    <t>Off Jakarta Indonesia</t>
  </si>
  <si>
    <t>Lukla Nepal</t>
  </si>
  <si>
    <t>Lisa Nigeria</t>
  </si>
  <si>
    <t>Kaduqli Sudan</t>
  </si>
  <si>
    <t>Near Sao Felix do Araguaia  Brazil</t>
  </si>
  <si>
    <t>Barcelos Brazil</t>
  </si>
  <si>
    <t>Mount Montezuma Colombia</t>
  </si>
  <si>
    <t>Vandeikya Nigeria</t>
  </si>
  <si>
    <t>Operator</t>
  </si>
  <si>
    <t>(leased) Government U.S.</t>
  </si>
  <si>
    <t>Cargo Air National</t>
  </si>
  <si>
    <t>group  Techint - Private</t>
  </si>
  <si>
    <t>Taxi Air</t>
  </si>
  <si>
    <t>Colombia SELVA</t>
  </si>
  <si>
    <t>Colombiana Aerea -Fuerza Military</t>
  </si>
  <si>
    <t>Ltd. Helicopters Hans</t>
  </si>
  <si>
    <t>Air Lion</t>
  </si>
  <si>
    <t>Mandiri Aviastar</t>
  </si>
  <si>
    <t>Air GT</t>
  </si>
  <si>
    <t>Force Air Indonesian - Military</t>
  </si>
  <si>
    <t>Force Air Kenya - Military</t>
  </si>
  <si>
    <t>Airlines Bhoja</t>
  </si>
  <si>
    <t>Peru Del Fuerza - Military</t>
  </si>
  <si>
    <t>Force Air Sudan - Military</t>
  </si>
  <si>
    <t>Army U.S. - Military</t>
  </si>
  <si>
    <t>Aero Taxi Two</t>
  </si>
  <si>
    <t>AÃ©reo Taxi Rico</t>
  </si>
  <si>
    <t>Taxi Air Lider - taxi Air</t>
  </si>
  <si>
    <t>Colombia AIRES</t>
  </si>
  <si>
    <t>Exppress India Air</t>
  </si>
  <si>
    <t>Airlines Nusantara Merpati</t>
  </si>
  <si>
    <t>Air Komala</t>
  </si>
  <si>
    <t>Air La Shangri</t>
  </si>
  <si>
    <t>Air Agni</t>
  </si>
  <si>
    <t>Peru TANS</t>
  </si>
  <si>
    <t>Airlines Alfa</t>
  </si>
  <si>
    <t>Aero Taxi Heringer</t>
  </si>
  <si>
    <t>Force Air Brazilian - Military</t>
  </si>
  <si>
    <t>TÃ¡xi-AÃ©reo NHR</t>
  </si>
  <si>
    <t>Colombia Aerosucre</t>
  </si>
  <si>
    <t>Suramericanas AÃ©reas LÃ­neas</t>
  </si>
  <si>
    <t>Heliandes</t>
  </si>
  <si>
    <t>Police Indonesian</t>
  </si>
  <si>
    <t>Air Tara</t>
  </si>
  <si>
    <t>Airlines Sosoliso</t>
  </si>
  <si>
    <t>Airlines International Pakistan</t>
  </si>
  <si>
    <t>Air Kam</t>
  </si>
  <si>
    <t>Manaus Aerotaxi</t>
  </si>
  <si>
    <t>Indonesia Indonesian National Police</t>
  </si>
  <si>
    <t>Airlines Nepal</t>
  </si>
  <si>
    <t>Airlines Kasthamandap</t>
  </si>
  <si>
    <t>Force Air Pakistan - Military</t>
  </si>
  <si>
    <t>West Air</t>
  </si>
  <si>
    <t>Army Afghan</t>
  </si>
  <si>
    <t>Aereo Taxi Piquiatuba</t>
  </si>
  <si>
    <t>government Colombian - Military</t>
  </si>
  <si>
    <t>TAME</t>
  </si>
  <si>
    <t>Suramericanas Aereas Lineas</t>
  </si>
  <si>
    <t>Air Sriwijaya</t>
  </si>
  <si>
    <t>Airlines Indonesia Garuda</t>
  </si>
  <si>
    <t>Air Adam</t>
  </si>
  <si>
    <t>Navy Indonesia Nasional Tentara - Military</t>
  </si>
  <si>
    <t>Service Air Dirgantara</t>
  </si>
  <si>
    <t>Services Commuter African</t>
  </si>
  <si>
    <t>Airlines Yeti</t>
  </si>
  <si>
    <t>Airways Express Skypower</t>
  </si>
  <si>
    <t>Force Air U.S. - Military</t>
  </si>
  <si>
    <t>Airlines TANS</t>
  </si>
  <si>
    <t>Force Air Sudanese</t>
  </si>
  <si>
    <t>Airlines Way Silk</t>
  </si>
  <si>
    <t>Air Vertical-T</t>
  </si>
  <si>
    <t>(Brazil) TAM</t>
  </si>
  <si>
    <t>AÃ©reas Linhas NOAR</t>
  </si>
  <si>
    <t>Cargo Air Centurian</t>
  </si>
  <si>
    <t>Force Air Colombia - Military</t>
  </si>
  <si>
    <t>Colombia CORAL</t>
  </si>
  <si>
    <t>Airlines Djibouti</t>
  </si>
  <si>
    <t>Army Pakistan - Military</t>
  </si>
  <si>
    <t>Airlines Airlines/Alliance Indian</t>
  </si>
  <si>
    <t>Charter Air Raya Merauke Sabang</t>
  </si>
  <si>
    <t>Aviation International Skyward</t>
  </si>
  <si>
    <t>Charter Air Blake Ryan</t>
  </si>
  <si>
    <t>Airlines Nepal Royal</t>
  </si>
  <si>
    <t>Airways Skyline</t>
  </si>
  <si>
    <t>Airblue</t>
  </si>
  <si>
    <t>Airways Sudan</t>
  </si>
  <si>
    <t>Taxi Air Astro</t>
  </si>
  <si>
    <t>Force Air Indian - Military</t>
  </si>
  <si>
    <t>Air Manunggal</t>
  </si>
  <si>
    <t>SAX Fly</t>
  </si>
  <si>
    <t>Air Dana</t>
  </si>
  <si>
    <t>Cargo Air Juba</t>
  </si>
  <si>
    <t>Aviation Marsland</t>
  </si>
  <si>
    <t>Aviaition Ababeel</t>
  </si>
  <si>
    <t>(NATO) Army Turkish - Military</t>
  </si>
  <si>
    <t>Private</t>
  </si>
  <si>
    <t>Ltd. Aviation True</t>
  </si>
  <si>
    <t>Air Team</t>
  </si>
  <si>
    <t>AÃ©reo Taxi AÃ©reoBahia Taxi AÃ©reoBahia Taxi Bahia</t>
  </si>
  <si>
    <t>Colombia Aereo Laser</t>
  </si>
  <si>
    <t>Airlines Ethiopian</t>
  </si>
  <si>
    <t>Regional Air PT</t>
  </si>
  <si>
    <t>Airlines US-Bangla</t>
  </si>
  <si>
    <t>Mission Nations United</t>
  </si>
  <si>
    <t>Airlines Supreme Sudan South</t>
  </si>
  <si>
    <t>Airlines Pamir</t>
  </si>
  <si>
    <t>Charter - Carlos Don Aereos Transportes</t>
  </si>
  <si>
    <t>Argentina AÃ©rea Fuerza</t>
  </si>
  <si>
    <t>Aereas Lineas SOL</t>
  </si>
  <si>
    <t>Aereas Linhas Rico</t>
  </si>
  <si>
    <t>Colombia Alisansa</t>
  </si>
  <si>
    <t>Petroleros Aerotransportes</t>
  </si>
  <si>
    <t>Express India Air</t>
  </si>
  <si>
    <t>Service Air Trigana</t>
  </si>
  <si>
    <t>Sukhoi</t>
  </si>
  <si>
    <t>Aviation Bird Blue</t>
  </si>
  <si>
    <t>Air Summit</t>
  </si>
  <si>
    <t>Services) Airline (Executive Airlines EAS</t>
  </si>
  <si>
    <t>Force Air Nigerian - Military</t>
  </si>
  <si>
    <t>Services Air Executive Sky</t>
  </si>
  <si>
    <t>Airline International Pakistan</t>
  </si>
  <si>
    <t>Force Air Peruvian - Military</t>
  </si>
  <si>
    <t>Aviation Magal El</t>
  </si>
  <si>
    <t>Cush Air - Charter</t>
  </si>
  <si>
    <t>Taxi Air - Inc. Airways Presidental</t>
  </si>
  <si>
    <t>Bolivia LAMIA</t>
  </si>
  <si>
    <t>SAS Aero</t>
  </si>
  <si>
    <t>Services Air Dirgantara</t>
  </si>
  <si>
    <t>Aviation Eagle</t>
  </si>
  <si>
    <t>Airlines MK</t>
  </si>
  <si>
    <t>Air JS</t>
  </si>
  <si>
    <t>Way Sun</t>
  </si>
  <si>
    <t>LATAM</t>
  </si>
  <si>
    <t>Aerea Linea CATA</t>
  </si>
  <si>
    <t>Aerovanguardia</t>
  </si>
  <si>
    <t>Aviacion de Nacional</t>
  </si>
  <si>
    <t>Navy Indian - Military</t>
  </si>
  <si>
    <t>Mandari Avistar</t>
  </si>
  <si>
    <t>Airlines ADC</t>
  </si>
  <si>
    <t>Airlines Bellview</t>
  </si>
  <si>
    <t>Aviation Associated</t>
  </si>
  <si>
    <t>Force Air Sudanese - Military</t>
  </si>
  <si>
    <t>Airlines Sarit</t>
  </si>
  <si>
    <t>Force Air Royal - Military</t>
  </si>
  <si>
    <t>Private / Airlines Gol</t>
  </si>
  <si>
    <t>Aerotaxi Manaus</t>
  </si>
  <si>
    <t>Colombiana AÃ©rea Fuerza - Military</t>
  </si>
  <si>
    <t>Airlines Mandala</t>
  </si>
  <si>
    <t>Air Buana Nusantara</t>
  </si>
  <si>
    <t>Air Buddha</t>
  </si>
  <si>
    <t>Air Sita</t>
  </si>
  <si>
    <t>Fatalities (air)</t>
  </si>
  <si>
    <t>Aboard</t>
  </si>
  <si>
    <t>Crash_Count</t>
  </si>
  <si>
    <t>Row Labels</t>
  </si>
  <si>
    <t>Grand Total</t>
  </si>
  <si>
    <t>QUESTION 1</t>
  </si>
  <si>
    <t>How have air crash incidents changed between 2000–2024?</t>
  </si>
  <si>
    <t>Sum of Crash_Count</t>
  </si>
  <si>
    <t>QUESTION 2</t>
  </si>
  <si>
    <t>Which country recorded the highest number of crashes?</t>
  </si>
  <si>
    <t>QUESTION 3</t>
  </si>
  <si>
    <t>Which year recorded the highest fatalities?</t>
  </si>
  <si>
    <t>Sum of Fatalities (air)</t>
  </si>
  <si>
    <t>QUESTION 4</t>
  </si>
  <si>
    <t>Which operators experienced the most crashes?</t>
  </si>
  <si>
    <t>QUESTION 5</t>
  </si>
  <si>
    <t>Sum of Aboard</t>
  </si>
  <si>
    <t>QUESTION 8</t>
  </si>
  <si>
    <t>Which countries had the highest passengers aboard?</t>
  </si>
  <si>
    <t>QUESTION 9</t>
  </si>
  <si>
    <t>TOTAL CRASHES</t>
  </si>
  <si>
    <t>TOTAL FATALITIES</t>
  </si>
  <si>
    <t>TOTAL PASSENGERS ABOARD</t>
  </si>
  <si>
    <t>Country_Region</t>
  </si>
  <si>
    <t>QUESTION 6</t>
  </si>
  <si>
    <t>Which country recorded the highest fatalities?</t>
  </si>
  <si>
    <t>QUESTION 7</t>
  </si>
  <si>
    <t>Which operators recorded the highest fatalities?</t>
  </si>
  <si>
    <t>Which locations recorded the highest fatalities?</t>
  </si>
  <si>
    <t>Which countries experienced the most severe crashes?</t>
  </si>
  <si>
    <t>QUESTION 10</t>
  </si>
  <si>
    <r>
      <rPr>
        <b/>
        <sz val="11"/>
        <color theme="0" tint="-4.9989318521683403E-2"/>
        <rFont val="Times New Roman"/>
        <family val="1"/>
        <scheme val="minor"/>
      </rPr>
      <t>AIR CRASH INCIDENT ANALYSIS DASHBOARD (2000–2024)
THIRD WORLD COUNTRIES ANALYSIS PROJECT</t>
    </r>
    <r>
      <rPr>
        <sz val="11"/>
        <color theme="1"/>
        <rFont val="Times New Roman"/>
        <family val="2"/>
        <scheme val="minor"/>
      </rPr>
      <t xml:space="preserve">
</t>
    </r>
  </si>
  <si>
    <t>Asia</t>
  </si>
  <si>
    <t>Oceania</t>
  </si>
  <si>
    <t>Latin America &amp; Caribbean</t>
  </si>
  <si>
    <t>Africa</t>
  </si>
  <si>
    <t>Which region recorded the highest fatalities?</t>
  </si>
  <si>
    <t>Survivals</t>
  </si>
  <si>
    <t>Insight</t>
  </si>
  <si>
    <t>Air crash incidents fluctuated across the years, showing unstable aviation safety performance in developing regions.</t>
  </si>
  <si>
    <t>Solution</t>
  </si>
  <si>
    <t>Improve aircraft maintenance, pilot training, and aviation safety regulations.</t>
  </si>
  <si>
    <t>Omdurman Sudan</t>
  </si>
  <si>
    <t>Bohorok Indonesia</t>
  </si>
  <si>
    <t>Sao Felix do Araguaia  Brazil</t>
  </si>
  <si>
    <t>Kandahar Afghanistan</t>
  </si>
  <si>
    <t>Cubarral Colombia</t>
  </si>
  <si>
    <t>Medellin Colombia</t>
  </si>
  <si>
    <t>Ilaga Indonesia</t>
  </si>
  <si>
    <t>Masamba Indonesia</t>
  </si>
  <si>
    <t>Leticia Colombia</t>
  </si>
  <si>
    <t>La Union Colombia</t>
  </si>
  <si>
    <t>Bagram Afghanstan</t>
  </si>
  <si>
    <t>Pampa Hermosa Peru</t>
  </si>
  <si>
    <t>Calabar Nigeria</t>
  </si>
  <si>
    <t>Kaduna Nigeria</t>
  </si>
  <si>
    <t>Cidahu Indonesia</t>
  </si>
  <si>
    <t>Madiun Indonesia</t>
  </si>
  <si>
    <t>Nabire Indonesia</t>
  </si>
  <si>
    <t>San Vicente del Caguan Colombia</t>
  </si>
  <si>
    <t>Wamena Indonesia</t>
  </si>
  <si>
    <t>Cachimbo Brazil</t>
  </si>
  <si>
    <t>Pucallpa Peru</t>
  </si>
  <si>
    <t>Roque Perez Argentina</t>
  </si>
  <si>
    <t>Tanjung Pinanga Indonesia</t>
  </si>
  <si>
    <t>Havlien Pakistan</t>
  </si>
  <si>
    <t>Kaimana Indonesia</t>
  </si>
  <si>
    <t>Manaus Brazil</t>
  </si>
  <si>
    <t>Prahuaniyeu Argentina</t>
  </si>
  <si>
    <t>Bethani Nepal</t>
  </si>
  <si>
    <t>Njabini Kenya</t>
  </si>
  <si>
    <t>Gardez Afghanistan</t>
  </si>
  <si>
    <t>Lipo India</t>
  </si>
  <si>
    <t>Salak Mountain Indonesia</t>
  </si>
  <si>
    <t>Malakal Sudan</t>
  </si>
  <si>
    <t>Nairobi Kenya</t>
  </si>
  <si>
    <t>Long Barai Indonesia</t>
  </si>
  <si>
    <t>Shinile Ethiopia</t>
  </si>
  <si>
    <t>Agustin Codazzi Colombia</t>
  </si>
  <si>
    <t>Bogota Colombia</t>
  </si>
  <si>
    <t>Chachapoyas Peru</t>
  </si>
  <si>
    <t>Silimo Indonesia</t>
  </si>
  <si>
    <t>Malinau Indonesia</t>
  </si>
  <si>
    <t>Ipiales Colombia</t>
  </si>
  <si>
    <t>Senador Jose PorfÃ­rio Brazil</t>
  </si>
  <si>
    <t>Kohat Pakistan</t>
  </si>
  <si>
    <t>Parepare Indonesia</t>
  </si>
  <si>
    <t>Sum of FATALITY RATE</t>
  </si>
  <si>
    <t>Severity Column</t>
  </si>
  <si>
    <t>Region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</si>
</sst>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Times New Roman"/>
      <family val="2"/>
      <scheme val="minor"/>
    </font>
    <font>
      <sz val="11"/>
      <color theme="4" tint="0.39997558519241921"/>
      <name val="Times New Roman"/>
      <family val="2"/>
      <scheme val="minor"/>
    </font>
    <font>
      <b/>
      <shadow/>
      <sz val="11"/>
      <color theme="1"/>
      <name val="Calibri"/>
      <family val="2"/>
    </font>
    <font>
      <b/>
      <sz val="11"/>
      <color theme="0" tint="-4.9989318521683403E-2"/>
      <name val="Times New Roman"/>
      <family val="1"/>
      <scheme val="minor"/>
    </font>
    <font>
      <sz val="11"/>
      <color theme="1"/>
      <name val="Times New Roman"/>
      <family val="1"/>
      <scheme val="minor"/>
    </font>
    <font>
      <sz val="12"/>
      <color theme="1"/>
      <name val="Times New Roman"/>
      <family val="2"/>
      <scheme val="minor"/>
    </font>
    <font>
      <sz val="11"/>
      <color theme="1"/>
      <name val="Calibri"/>
      <family val="2"/>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2" borderId="0" xfId="0" applyFont="1" applyFill="1" applyAlignment="1">
      <alignment horizontal="center" vertical="center" readingOrder="1"/>
    </xf>
    <xf numFmtId="0" fontId="1" fillId="2" borderId="0" xfId="0" applyFont="1" applyFill="1"/>
    <xf numFmtId="0" fontId="4" fillId="0" borderId="0" xfId="0" applyFont="1"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wrapText="1"/>
    </xf>
    <xf numFmtId="0" fontId="5" fillId="0" borderId="0" xfId="0" applyFont="1"/>
    <xf numFmtId="0" fontId="6" fillId="0" borderId="0" xfId="0" applyFont="1" applyAlignment="1">
      <alignment vertic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Air Crash Trend (2000–2024)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215431786623"/>
          <c:y val="0.11285714285714285"/>
          <c:w val="0.82591321726985967"/>
          <c:h val="0.67231107475201968"/>
        </c:manualLayout>
      </c:layout>
      <c:lineChart>
        <c:grouping val="standard"/>
        <c:varyColors val="0"/>
        <c:ser>
          <c:idx val="0"/>
          <c:order val="0"/>
          <c:tx>
            <c:strRef>
              <c:f>'QUESTION 1'!$B$4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'QUESTION 1'!$A$5:$A$29</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'QUESTION 1'!$B$5:$B$29</c:f>
              <c:numCache>
                <c:formatCode>General</c:formatCode>
                <c:ptCount val="24"/>
                <c:pt idx="0">
                  <c:v>6</c:v>
                </c:pt>
                <c:pt idx="1">
                  <c:v>10</c:v>
                </c:pt>
                <c:pt idx="2">
                  <c:v>16</c:v>
                </c:pt>
                <c:pt idx="3">
                  <c:v>9</c:v>
                </c:pt>
                <c:pt idx="4">
                  <c:v>11</c:v>
                </c:pt>
                <c:pt idx="5">
                  <c:v>12</c:v>
                </c:pt>
                <c:pt idx="6">
                  <c:v>11</c:v>
                </c:pt>
                <c:pt idx="7">
                  <c:v>9</c:v>
                </c:pt>
                <c:pt idx="8">
                  <c:v>8</c:v>
                </c:pt>
                <c:pt idx="9">
                  <c:v>9</c:v>
                </c:pt>
                <c:pt idx="10">
                  <c:v>10</c:v>
                </c:pt>
                <c:pt idx="11">
                  <c:v>9</c:v>
                </c:pt>
                <c:pt idx="12">
                  <c:v>10</c:v>
                </c:pt>
                <c:pt idx="13">
                  <c:v>4</c:v>
                </c:pt>
                <c:pt idx="14">
                  <c:v>3</c:v>
                </c:pt>
                <c:pt idx="15">
                  <c:v>7</c:v>
                </c:pt>
                <c:pt idx="16">
                  <c:v>7</c:v>
                </c:pt>
                <c:pt idx="17">
                  <c:v>1</c:v>
                </c:pt>
                <c:pt idx="18">
                  <c:v>3</c:v>
                </c:pt>
                <c:pt idx="19">
                  <c:v>4</c:v>
                </c:pt>
                <c:pt idx="20">
                  <c:v>3</c:v>
                </c:pt>
                <c:pt idx="21">
                  <c:v>3</c:v>
                </c:pt>
                <c:pt idx="22">
                  <c:v>2</c:v>
                </c:pt>
                <c:pt idx="23">
                  <c:v>2</c:v>
                </c:pt>
              </c:numCache>
            </c:numRef>
          </c:val>
          <c:smooth val="0"/>
          <c:extLst>
            <c:ext xmlns:c16="http://schemas.microsoft.com/office/drawing/2014/chart" uri="{C3380CC4-5D6E-409C-BE32-E72D297353CC}">
              <c16:uniqueId val="{00000000-27FE-4860-90E5-F6E9C495D008}"/>
            </c:ext>
          </c:extLst>
        </c:ser>
        <c:dLbls>
          <c:showLegendKey val="0"/>
          <c:showVal val="0"/>
          <c:showCatName val="0"/>
          <c:showSerName val="0"/>
          <c:showPercent val="0"/>
          <c:showBubbleSize val="0"/>
        </c:dLbls>
        <c:marker val="1"/>
        <c:smooth val="0"/>
        <c:axId val="114267568"/>
        <c:axId val="114293776"/>
      </c:lineChart>
      <c:catAx>
        <c:axId val="11426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3776"/>
        <c:crosses val="autoZero"/>
        <c:auto val="1"/>
        <c:lblAlgn val="ctr"/>
        <c:lblOffset val="100"/>
        <c:noMultiLvlLbl val="0"/>
      </c:catAx>
      <c:valAx>
        <c:axId val="11429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6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228600">
        <a:schemeClr val="accent1">
          <a:satMod val="175000"/>
          <a:alpha val="40000"/>
        </a:schemeClr>
      </a:glow>
    </a:effectLst>
    <a:scene3d>
      <a:camera prst="orthographicFront"/>
      <a:lightRig rig="threePt" dir="t"/>
    </a:scene3d>
    <a:sp3d>
      <a:bevelT w="114300" prst="artDeco"/>
      <a:bevelB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7!PivotTable2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t>Fatalities by Country</a:t>
            </a:r>
          </a:p>
        </c:rich>
      </c:tx>
      <c:layout>
        <c:manualLayout>
          <c:xMode val="edge"/>
          <c:yMode val="edge"/>
          <c:x val="0.2390891215917598"/>
          <c:y val="3.280839895013123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640939850569794E-2"/>
          <c:y val="0.14247661143584045"/>
          <c:w val="0.94492842947347233"/>
          <c:h val="0.38114221535191539"/>
        </c:manualLayout>
      </c:layout>
      <c:barChart>
        <c:barDir val="col"/>
        <c:grouping val="clustered"/>
        <c:varyColors val="0"/>
        <c:ser>
          <c:idx val="0"/>
          <c:order val="0"/>
          <c:tx>
            <c:strRef>
              <c:f>'QUESTION 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'QUESTION 7'!$A$4:$A$19</c:f>
              <c:strCache>
                <c:ptCount val="15"/>
                <c:pt idx="0">
                  <c:v>Indonesia</c:v>
                </c:pt>
                <c:pt idx="1">
                  <c:v>Nigeria</c:v>
                </c:pt>
                <c:pt idx="2">
                  <c:v>Pakistan</c:v>
                </c:pt>
                <c:pt idx="3">
                  <c:v>Brazil</c:v>
                </c:pt>
                <c:pt idx="4">
                  <c:v>Nepal</c:v>
                </c:pt>
                <c:pt idx="5">
                  <c:v>Colombia</c:v>
                </c:pt>
                <c:pt idx="6">
                  <c:v>India</c:v>
                </c:pt>
                <c:pt idx="7">
                  <c:v>Afghanistan</c:v>
                </c:pt>
                <c:pt idx="8">
                  <c:v>Sudan</c:v>
                </c:pt>
                <c:pt idx="9">
                  <c:v>Ethiopia</c:v>
                </c:pt>
                <c:pt idx="10">
                  <c:v>Peru</c:v>
                </c:pt>
                <c:pt idx="11">
                  <c:v>Argentina</c:v>
                </c:pt>
                <c:pt idx="12">
                  <c:v>Kenya</c:v>
                </c:pt>
                <c:pt idx="13">
                  <c:v>Napal</c:v>
                </c:pt>
                <c:pt idx="14">
                  <c:v>Bangladesh</c:v>
                </c:pt>
              </c:strCache>
            </c:strRef>
          </c:cat>
          <c:val>
            <c:numRef>
              <c:f>'QUESTION 7'!$B$4:$B$19</c:f>
              <c:numCache>
                <c:formatCode>General</c:formatCode>
                <c:ptCount val="15"/>
                <c:pt idx="0">
                  <c:v>1014</c:v>
                </c:pt>
                <c:pt idx="1">
                  <c:v>595</c:v>
                </c:pt>
                <c:pt idx="2">
                  <c:v>522</c:v>
                </c:pt>
                <c:pt idx="3">
                  <c:v>506</c:v>
                </c:pt>
                <c:pt idx="4">
                  <c:v>335</c:v>
                </c:pt>
                <c:pt idx="5">
                  <c:v>315</c:v>
                </c:pt>
                <c:pt idx="6">
                  <c:v>295</c:v>
                </c:pt>
                <c:pt idx="7">
                  <c:v>287</c:v>
                </c:pt>
                <c:pt idx="8">
                  <c:v>280</c:v>
                </c:pt>
                <c:pt idx="9">
                  <c:v>158</c:v>
                </c:pt>
                <c:pt idx="10">
                  <c:v>112</c:v>
                </c:pt>
                <c:pt idx="11">
                  <c:v>62</c:v>
                </c:pt>
                <c:pt idx="12">
                  <c:v>48</c:v>
                </c:pt>
                <c:pt idx="13">
                  <c:v>9</c:v>
                </c:pt>
                <c:pt idx="14">
                  <c:v>3</c:v>
                </c:pt>
              </c:numCache>
            </c:numRef>
          </c:val>
          <c:extLst>
            <c:ext xmlns:c16="http://schemas.microsoft.com/office/drawing/2014/chart" uri="{C3380CC4-5D6E-409C-BE32-E72D297353CC}">
              <c16:uniqueId val="{00000000-11A6-49D0-BC29-C3E2B3F48629}"/>
            </c:ext>
          </c:extLst>
        </c:ser>
        <c:dLbls>
          <c:showLegendKey val="0"/>
          <c:showVal val="0"/>
          <c:showCatName val="0"/>
          <c:showSerName val="0"/>
          <c:showPercent val="0"/>
          <c:showBubbleSize val="0"/>
        </c:dLbls>
        <c:gapWidth val="65"/>
        <c:axId val="1954536848"/>
        <c:axId val="1954532272"/>
      </c:barChart>
      <c:catAx>
        <c:axId val="1954536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4532272"/>
        <c:crosses val="autoZero"/>
        <c:auto val="1"/>
        <c:lblAlgn val="ctr"/>
        <c:lblOffset val="100"/>
        <c:noMultiLvlLbl val="0"/>
      </c:catAx>
      <c:valAx>
        <c:axId val="1954532272"/>
        <c:scaling>
          <c:orientation val="minMax"/>
        </c:scaling>
        <c:delete val="1"/>
        <c:axPos val="l"/>
        <c:numFmt formatCode="General" sourceLinked="1"/>
        <c:majorTickMark val="none"/>
        <c:minorTickMark val="none"/>
        <c:tickLblPos val="nextTo"/>
        <c:crossAx val="195453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228600">
        <a:schemeClr val="accent3">
          <a:satMod val="175000"/>
          <a:alpha val="40000"/>
        </a:schemeClr>
      </a:glo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6 !PivotTable8</c:name>
    <c:fmtId val="1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000" b="1"/>
              <a:t>Passengers Aboard by Country</a:t>
            </a:r>
          </a:p>
        </c:rich>
      </c:tx>
      <c:layout>
        <c:manualLayout>
          <c:xMode val="edge"/>
          <c:yMode val="edge"/>
          <c:x val="0.27152438619223229"/>
          <c:y val="4.696583570207251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959824246652713"/>
          <c:y val="0.2309612983770287"/>
          <c:w val="0.77238487989634208"/>
          <c:h val="0.35002359255654841"/>
        </c:manualLayout>
      </c:layout>
      <c:bar3DChart>
        <c:barDir val="col"/>
        <c:grouping val="clustered"/>
        <c:varyColors val="0"/>
        <c:ser>
          <c:idx val="0"/>
          <c:order val="0"/>
          <c:tx>
            <c:strRef>
              <c:f>'QUESTION 6 '!$B$3</c:f>
              <c:strCache>
                <c:ptCount val="1"/>
                <c:pt idx="0">
                  <c:v>Total</c:v>
                </c:pt>
              </c:strCache>
            </c:strRef>
          </c:tx>
          <c:spPr>
            <a:solidFill>
              <a:schemeClr val="accent1"/>
            </a:solidFill>
            <a:ln>
              <a:noFill/>
            </a:ln>
            <a:effectLst/>
            <a:sp3d/>
          </c:spPr>
          <c:invertIfNegative val="0"/>
          <c:cat>
            <c:strRef>
              <c:f>'QUESTION 6 '!$A$4:$A$14</c:f>
              <c:strCache>
                <c:ptCount val="10"/>
                <c:pt idx="0">
                  <c:v>Afghanistan</c:v>
                </c:pt>
                <c:pt idx="1">
                  <c:v>Brazil</c:v>
                </c:pt>
                <c:pt idx="2">
                  <c:v>Colombia</c:v>
                </c:pt>
                <c:pt idx="3">
                  <c:v>India</c:v>
                </c:pt>
                <c:pt idx="4">
                  <c:v>Indonesia</c:v>
                </c:pt>
                <c:pt idx="5">
                  <c:v>Nepal</c:v>
                </c:pt>
                <c:pt idx="6">
                  <c:v>Nigeria</c:v>
                </c:pt>
                <c:pt idx="7">
                  <c:v>Pakistan</c:v>
                </c:pt>
                <c:pt idx="8">
                  <c:v>Peru</c:v>
                </c:pt>
                <c:pt idx="9">
                  <c:v>Sudan</c:v>
                </c:pt>
              </c:strCache>
            </c:strRef>
          </c:cat>
          <c:val>
            <c:numRef>
              <c:f>'QUESTION 6 '!$B$4:$B$14</c:f>
              <c:numCache>
                <c:formatCode>General</c:formatCode>
                <c:ptCount val="10"/>
                <c:pt idx="0">
                  <c:v>313</c:v>
                </c:pt>
                <c:pt idx="1">
                  <c:v>627</c:v>
                </c:pt>
                <c:pt idx="2">
                  <c:v>477</c:v>
                </c:pt>
                <c:pt idx="3">
                  <c:v>480</c:v>
                </c:pt>
                <c:pt idx="4">
                  <c:v>1498</c:v>
                </c:pt>
                <c:pt idx="5">
                  <c:v>372</c:v>
                </c:pt>
                <c:pt idx="6">
                  <c:v>645</c:v>
                </c:pt>
                <c:pt idx="7">
                  <c:v>524</c:v>
                </c:pt>
                <c:pt idx="8">
                  <c:v>285</c:v>
                </c:pt>
                <c:pt idx="9">
                  <c:v>529</c:v>
                </c:pt>
              </c:numCache>
            </c:numRef>
          </c:val>
          <c:extLst>
            <c:ext xmlns:c16="http://schemas.microsoft.com/office/drawing/2014/chart" uri="{C3380CC4-5D6E-409C-BE32-E72D297353CC}">
              <c16:uniqueId val="{00000000-D900-4C43-B060-722F324EACD4}"/>
            </c:ext>
          </c:extLst>
        </c:ser>
        <c:dLbls>
          <c:showLegendKey val="0"/>
          <c:showVal val="0"/>
          <c:showCatName val="0"/>
          <c:showSerName val="0"/>
          <c:showPercent val="0"/>
          <c:showBubbleSize val="0"/>
        </c:dLbls>
        <c:gapWidth val="150"/>
        <c:shape val="box"/>
        <c:axId val="2093288192"/>
        <c:axId val="2093285696"/>
        <c:axId val="0"/>
      </c:bar3DChart>
      <c:catAx>
        <c:axId val="209328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93285696"/>
        <c:crosses val="autoZero"/>
        <c:auto val="1"/>
        <c:lblAlgn val="ctr"/>
        <c:lblOffset val="100"/>
        <c:noMultiLvlLbl val="0"/>
      </c:catAx>
      <c:valAx>
        <c:axId val="20932856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8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2!PivotTable2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t>Air Crashes by Country</a:t>
            </a:r>
          </a:p>
        </c:rich>
      </c:tx>
      <c:layout>
        <c:manualLayout>
          <c:xMode val="edge"/>
          <c:yMode val="edge"/>
          <c:x val="0.32463123713309422"/>
          <c:y val="4.103535353535353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9142347772566162"/>
          <c:y val="0.19255050505050506"/>
          <c:w val="0.31199071814136442"/>
          <c:h val="0.6634365306609401"/>
        </c:manualLayout>
      </c:layout>
      <c:bar3DChart>
        <c:barDir val="bar"/>
        <c:grouping val="clustered"/>
        <c:varyColors val="0"/>
        <c:ser>
          <c:idx val="0"/>
          <c:order val="0"/>
          <c:tx>
            <c:strRef>
              <c:f>'QUESTION 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'QUESTION 2'!$A$4:$A$14</c:f>
              <c:strCache>
                <c:ptCount val="10"/>
                <c:pt idx="0">
                  <c:v>Indonesia</c:v>
                </c:pt>
                <c:pt idx="1">
                  <c:v>Colombia</c:v>
                </c:pt>
                <c:pt idx="2">
                  <c:v>Brazil</c:v>
                </c:pt>
                <c:pt idx="3">
                  <c:v>Nepal</c:v>
                </c:pt>
                <c:pt idx="4">
                  <c:v>Sudan</c:v>
                </c:pt>
                <c:pt idx="5">
                  <c:v>Afghanistan</c:v>
                </c:pt>
                <c:pt idx="6">
                  <c:v>Nigeria</c:v>
                </c:pt>
                <c:pt idx="7">
                  <c:v>Pakistan</c:v>
                </c:pt>
                <c:pt idx="8">
                  <c:v>India</c:v>
                </c:pt>
                <c:pt idx="9">
                  <c:v>Kenya</c:v>
                </c:pt>
              </c:strCache>
            </c:strRef>
          </c:cat>
          <c:val>
            <c:numRef>
              <c:f>'QUESTION 2'!$B$4:$B$14</c:f>
              <c:numCache>
                <c:formatCode>General</c:formatCode>
                <c:ptCount val="10"/>
                <c:pt idx="0">
                  <c:v>34</c:v>
                </c:pt>
                <c:pt idx="1">
                  <c:v>21</c:v>
                </c:pt>
                <c:pt idx="2">
                  <c:v>18</c:v>
                </c:pt>
                <c:pt idx="3">
                  <c:v>17</c:v>
                </c:pt>
                <c:pt idx="4">
                  <c:v>15</c:v>
                </c:pt>
                <c:pt idx="5">
                  <c:v>14</c:v>
                </c:pt>
                <c:pt idx="6">
                  <c:v>11</c:v>
                </c:pt>
                <c:pt idx="7">
                  <c:v>9</c:v>
                </c:pt>
                <c:pt idx="8">
                  <c:v>8</c:v>
                </c:pt>
                <c:pt idx="9">
                  <c:v>7</c:v>
                </c:pt>
              </c:numCache>
            </c:numRef>
          </c:val>
          <c:extLst>
            <c:ext xmlns:c16="http://schemas.microsoft.com/office/drawing/2014/chart" uri="{C3380CC4-5D6E-409C-BE32-E72D297353CC}">
              <c16:uniqueId val="{00000000-17FE-4D95-8558-774CDEBBBD02}"/>
            </c:ext>
          </c:extLst>
        </c:ser>
        <c:dLbls>
          <c:showLegendKey val="0"/>
          <c:showVal val="0"/>
          <c:showCatName val="0"/>
          <c:showSerName val="0"/>
          <c:showPercent val="0"/>
          <c:showBubbleSize val="0"/>
        </c:dLbls>
        <c:gapWidth val="65"/>
        <c:shape val="box"/>
        <c:axId val="114278800"/>
        <c:axId val="114262576"/>
        <c:axId val="0"/>
      </c:bar3DChart>
      <c:catAx>
        <c:axId val="114278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262576"/>
        <c:crosses val="autoZero"/>
        <c:auto val="1"/>
        <c:lblAlgn val="ctr"/>
        <c:lblOffset val="100"/>
        <c:noMultiLvlLbl val="0"/>
      </c:catAx>
      <c:valAx>
        <c:axId val="1142625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27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39700">
        <a:schemeClr val="accent1">
          <a:satMod val="175000"/>
          <a:alpha val="40000"/>
        </a:schemeClr>
      </a:glow>
    </a:effectLst>
    <a:scene3d>
      <a:camera prst="orthographicFront"/>
      <a:lightRig rig="threePt" dir="t"/>
    </a:scene3d>
    <a:sp3d>
      <a:bevelT w="114300" prst="artDeco"/>
      <a:bevelB w="114300" prst="hardEdg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5!PivotTable1</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000"/>
              <a:t>Fatalities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rgbClr val="7030A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7030A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rgbClr val="0070C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7030A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rgbClr val="0070C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201058201058198E-2"/>
          <c:y val="0.13925729442970822"/>
          <c:w val="0.61375661375661372"/>
          <c:h val="0.86074270557029176"/>
        </c:manualLayout>
      </c:layout>
      <c:pie3DChart>
        <c:varyColors val="1"/>
        <c:ser>
          <c:idx val="0"/>
          <c:order val="0"/>
          <c:tx>
            <c:strRef>
              <c:f>'QUESTION 5'!$B$3</c:f>
              <c:strCache>
                <c:ptCount val="1"/>
                <c:pt idx="0">
                  <c:v>Total</c:v>
                </c:pt>
              </c:strCache>
            </c:strRef>
          </c:tx>
          <c:dPt>
            <c:idx val="0"/>
            <c:bubble3D val="0"/>
            <c:spPr>
              <a:solidFill>
                <a:srgbClr val="7030A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B68-4744-B773-88FB3654AF0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B68-4744-B773-88FB3654AF0D}"/>
              </c:ext>
            </c:extLst>
          </c:dPt>
          <c:dPt>
            <c:idx val="2"/>
            <c:bubble3D val="0"/>
            <c:spPr>
              <a:solidFill>
                <a:srgbClr val="0070C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B68-4744-B773-88FB3654AF0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EB68-4744-B773-88FB3654AF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'QUESTION 5'!$A$4:$A$8</c:f>
              <c:strCache>
                <c:ptCount val="4"/>
                <c:pt idx="0">
                  <c:v>Africa</c:v>
                </c:pt>
                <c:pt idx="1">
                  <c:v>Asia</c:v>
                </c:pt>
                <c:pt idx="2">
                  <c:v>Latin America &amp; Caribbean</c:v>
                </c:pt>
                <c:pt idx="3">
                  <c:v>Oceania</c:v>
                </c:pt>
              </c:strCache>
            </c:strRef>
          </c:cat>
          <c:val>
            <c:numRef>
              <c:f>'QUESTION 5'!$B$4:$B$8</c:f>
              <c:numCache>
                <c:formatCode>General</c:formatCode>
                <c:ptCount val="4"/>
                <c:pt idx="0">
                  <c:v>137</c:v>
                </c:pt>
                <c:pt idx="1">
                  <c:v>926</c:v>
                </c:pt>
                <c:pt idx="2">
                  <c:v>1224</c:v>
                </c:pt>
                <c:pt idx="3">
                  <c:v>2254</c:v>
                </c:pt>
              </c:numCache>
            </c:numRef>
          </c:val>
          <c:extLst>
            <c:ext xmlns:c16="http://schemas.microsoft.com/office/drawing/2014/chart" uri="{C3380CC4-5D6E-409C-BE32-E72D297353CC}">
              <c16:uniqueId val="{00000008-EB68-4744-B773-88FB3654AF0D}"/>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5783639545056871"/>
          <c:y val="0.37432633420822403"/>
          <c:w val="0.32549693788276468"/>
          <c:h val="0.3610691892680081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glow rad="228600">
        <a:schemeClr val="accent3">
          <a:satMod val="175000"/>
          <a:alpha val="40000"/>
        </a:schemeClr>
      </a:glow>
    </a:effectLst>
    <a:scene3d>
      <a:camera prst="orthographicFront"/>
      <a:lightRig rig="threePt" dir="t"/>
    </a:scene3d>
    <a:sp3d>
      <a:bevelT w="114300" prst="artDeco"/>
      <a:bevelB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1!PivotTable1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Air Crash Trend (2000–2024)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1'!$B$4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1'!$A$5:$A$29</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'QUESTION 1'!$B$5:$B$29</c:f>
              <c:numCache>
                <c:formatCode>General</c:formatCode>
                <c:ptCount val="24"/>
                <c:pt idx="0">
                  <c:v>6</c:v>
                </c:pt>
                <c:pt idx="1">
                  <c:v>10</c:v>
                </c:pt>
                <c:pt idx="2">
                  <c:v>16</c:v>
                </c:pt>
                <c:pt idx="3">
                  <c:v>9</c:v>
                </c:pt>
                <c:pt idx="4">
                  <c:v>11</c:v>
                </c:pt>
                <c:pt idx="5">
                  <c:v>12</c:v>
                </c:pt>
                <c:pt idx="6">
                  <c:v>11</c:v>
                </c:pt>
                <c:pt idx="7">
                  <c:v>9</c:v>
                </c:pt>
                <c:pt idx="8">
                  <c:v>8</c:v>
                </c:pt>
                <c:pt idx="9">
                  <c:v>9</c:v>
                </c:pt>
                <c:pt idx="10">
                  <c:v>10</c:v>
                </c:pt>
                <c:pt idx="11">
                  <c:v>9</c:v>
                </c:pt>
                <c:pt idx="12">
                  <c:v>10</c:v>
                </c:pt>
                <c:pt idx="13">
                  <c:v>4</c:v>
                </c:pt>
                <c:pt idx="14">
                  <c:v>3</c:v>
                </c:pt>
                <c:pt idx="15">
                  <c:v>7</c:v>
                </c:pt>
                <c:pt idx="16">
                  <c:v>7</c:v>
                </c:pt>
                <c:pt idx="17">
                  <c:v>1</c:v>
                </c:pt>
                <c:pt idx="18">
                  <c:v>3</c:v>
                </c:pt>
                <c:pt idx="19">
                  <c:v>4</c:v>
                </c:pt>
                <c:pt idx="20">
                  <c:v>3</c:v>
                </c:pt>
                <c:pt idx="21">
                  <c:v>3</c:v>
                </c:pt>
                <c:pt idx="22">
                  <c:v>2</c:v>
                </c:pt>
                <c:pt idx="23">
                  <c:v>2</c:v>
                </c:pt>
              </c:numCache>
            </c:numRef>
          </c:val>
          <c:smooth val="0"/>
          <c:extLst>
            <c:ext xmlns:c16="http://schemas.microsoft.com/office/drawing/2014/chart" uri="{C3380CC4-5D6E-409C-BE32-E72D297353CC}">
              <c16:uniqueId val="{00000000-2F69-4889-9B03-17A3BC11F185}"/>
            </c:ext>
          </c:extLst>
        </c:ser>
        <c:dLbls>
          <c:dLblPos val="ctr"/>
          <c:showLegendKey val="0"/>
          <c:showVal val="1"/>
          <c:showCatName val="0"/>
          <c:showSerName val="0"/>
          <c:showPercent val="0"/>
          <c:showBubbleSize val="0"/>
        </c:dLbls>
        <c:marker val="1"/>
        <c:smooth val="0"/>
        <c:axId val="114267568"/>
        <c:axId val="114293776"/>
      </c:lineChart>
      <c:catAx>
        <c:axId val="114267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3776"/>
        <c:crosses val="autoZero"/>
        <c:auto val="1"/>
        <c:lblAlgn val="ctr"/>
        <c:lblOffset val="100"/>
        <c:noMultiLvlLbl val="0"/>
      </c:catAx>
      <c:valAx>
        <c:axId val="11429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6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14300" prst="artDeco"/>
      <a:bevelB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2!PivotTable2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Air Crashes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'QUESTION 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'QUESTION 2'!$A$4:$A$14</c:f>
              <c:strCache>
                <c:ptCount val="10"/>
                <c:pt idx="0">
                  <c:v>Indonesia</c:v>
                </c:pt>
                <c:pt idx="1">
                  <c:v>Colombia</c:v>
                </c:pt>
                <c:pt idx="2">
                  <c:v>Brazil</c:v>
                </c:pt>
                <c:pt idx="3">
                  <c:v>Nepal</c:v>
                </c:pt>
                <c:pt idx="4">
                  <c:v>Sudan</c:v>
                </c:pt>
                <c:pt idx="5">
                  <c:v>Afghanistan</c:v>
                </c:pt>
                <c:pt idx="6">
                  <c:v>Nigeria</c:v>
                </c:pt>
                <c:pt idx="7">
                  <c:v>Pakistan</c:v>
                </c:pt>
                <c:pt idx="8">
                  <c:v>India</c:v>
                </c:pt>
                <c:pt idx="9">
                  <c:v>Kenya</c:v>
                </c:pt>
              </c:strCache>
            </c:strRef>
          </c:cat>
          <c:val>
            <c:numRef>
              <c:f>'QUESTION 2'!$B$4:$B$14</c:f>
              <c:numCache>
                <c:formatCode>General</c:formatCode>
                <c:ptCount val="10"/>
                <c:pt idx="0">
                  <c:v>34</c:v>
                </c:pt>
                <c:pt idx="1">
                  <c:v>21</c:v>
                </c:pt>
                <c:pt idx="2">
                  <c:v>18</c:v>
                </c:pt>
                <c:pt idx="3">
                  <c:v>17</c:v>
                </c:pt>
                <c:pt idx="4">
                  <c:v>15</c:v>
                </c:pt>
                <c:pt idx="5">
                  <c:v>14</c:v>
                </c:pt>
                <c:pt idx="6">
                  <c:v>11</c:v>
                </c:pt>
                <c:pt idx="7">
                  <c:v>9</c:v>
                </c:pt>
                <c:pt idx="8">
                  <c:v>8</c:v>
                </c:pt>
                <c:pt idx="9">
                  <c:v>7</c:v>
                </c:pt>
              </c:numCache>
            </c:numRef>
          </c:val>
          <c:extLst>
            <c:ext xmlns:c16="http://schemas.microsoft.com/office/drawing/2014/chart" uri="{C3380CC4-5D6E-409C-BE32-E72D297353CC}">
              <c16:uniqueId val="{00000000-7C12-468B-8501-36141981E786}"/>
            </c:ext>
          </c:extLst>
        </c:ser>
        <c:dLbls>
          <c:showLegendKey val="0"/>
          <c:showVal val="0"/>
          <c:showCatName val="0"/>
          <c:showSerName val="0"/>
          <c:showPercent val="0"/>
          <c:showBubbleSize val="0"/>
        </c:dLbls>
        <c:gapWidth val="65"/>
        <c:shape val="box"/>
        <c:axId val="114278800"/>
        <c:axId val="114262576"/>
        <c:axId val="0"/>
      </c:bar3DChart>
      <c:catAx>
        <c:axId val="114278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262576"/>
        <c:crosses val="autoZero"/>
        <c:auto val="1"/>
        <c:lblAlgn val="ctr"/>
        <c:lblOffset val="100"/>
        <c:noMultiLvlLbl val="0"/>
      </c:catAx>
      <c:valAx>
        <c:axId val="1142625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27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39700">
        <a:schemeClr val="accent1">
          <a:satMod val="175000"/>
          <a:alpha val="40000"/>
        </a:schemeClr>
      </a:glow>
    </a:effectLst>
    <a:scene3d>
      <a:camera prst="orthographicFront"/>
      <a:lightRig rig="threePt" dir="t"/>
    </a:scene3d>
    <a:sp3d>
      <a:bevelT w="114300" prst="artDeco"/>
      <a:bevelB w="114300" prst="hardEdg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3!PivotTable3</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Fatalities Trend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'QUESTION 3'!$B$3</c:f>
              <c:strCache>
                <c:ptCount val="1"/>
                <c:pt idx="0">
                  <c:v>Total</c:v>
                </c:pt>
              </c:strCache>
            </c:strRef>
          </c:tx>
          <c:spPr>
            <a:solidFill>
              <a:schemeClr val="accent1">
                <a:alpha val="85000"/>
              </a:schemeClr>
            </a:solidFill>
            <a:ln>
              <a:noFill/>
            </a:ln>
            <a:effectLst>
              <a:innerShdw dist="12700" dir="16200000">
                <a:schemeClr val="lt1"/>
              </a:innerShdw>
            </a:effectLst>
          </c:spPr>
          <c:cat>
            <c:strRef>
              <c:f>'QUESTION 3'!$A$4:$A$28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'QUESTION 3'!$B$4:$B$28</c:f>
              <c:numCache>
                <c:formatCode>General</c:formatCode>
                <c:ptCount val="24"/>
                <c:pt idx="0">
                  <c:v>107</c:v>
                </c:pt>
                <c:pt idx="1">
                  <c:v>63</c:v>
                </c:pt>
                <c:pt idx="2">
                  <c:v>269</c:v>
                </c:pt>
                <c:pt idx="3">
                  <c:v>213</c:v>
                </c:pt>
                <c:pt idx="4">
                  <c:v>94</c:v>
                </c:pt>
                <c:pt idx="5">
                  <c:v>558</c:v>
                </c:pt>
                <c:pt idx="6">
                  <c:v>383</c:v>
                </c:pt>
                <c:pt idx="7">
                  <c:v>348</c:v>
                </c:pt>
                <c:pt idx="8">
                  <c:v>92</c:v>
                </c:pt>
                <c:pt idx="9">
                  <c:v>227</c:v>
                </c:pt>
                <c:pt idx="10">
                  <c:v>432</c:v>
                </c:pt>
                <c:pt idx="11">
                  <c:v>174</c:v>
                </c:pt>
                <c:pt idx="12">
                  <c:v>438</c:v>
                </c:pt>
                <c:pt idx="13">
                  <c:v>28</c:v>
                </c:pt>
                <c:pt idx="14">
                  <c:v>28</c:v>
                </c:pt>
                <c:pt idx="15">
                  <c:v>169</c:v>
                </c:pt>
                <c:pt idx="16">
                  <c:v>165</c:v>
                </c:pt>
                <c:pt idx="17">
                  <c:v>2</c:v>
                </c:pt>
                <c:pt idx="18">
                  <c:v>250</c:v>
                </c:pt>
                <c:pt idx="19">
                  <c:v>189</c:v>
                </c:pt>
                <c:pt idx="20">
                  <c:v>135</c:v>
                </c:pt>
                <c:pt idx="21">
                  <c:v>83</c:v>
                </c:pt>
                <c:pt idx="22">
                  <c:v>8</c:v>
                </c:pt>
                <c:pt idx="23">
                  <c:v>86</c:v>
                </c:pt>
              </c:numCache>
            </c:numRef>
          </c:val>
          <c:extLst>
            <c:ext xmlns:c16="http://schemas.microsoft.com/office/drawing/2014/chart" uri="{C3380CC4-5D6E-409C-BE32-E72D297353CC}">
              <c16:uniqueId val="{00000000-C6B1-4689-B559-6CAC0263F3B6}"/>
            </c:ext>
          </c:extLst>
        </c:ser>
        <c:dLbls>
          <c:showLegendKey val="0"/>
          <c:showVal val="0"/>
          <c:showCatName val="0"/>
          <c:showSerName val="0"/>
          <c:showPercent val="0"/>
          <c:showBubbleSize val="0"/>
        </c:dLbls>
        <c:axId val="249488912"/>
        <c:axId val="249496400"/>
      </c:areaChart>
      <c:catAx>
        <c:axId val="249488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9496400"/>
        <c:crosses val="autoZero"/>
        <c:auto val="1"/>
        <c:lblAlgn val="ctr"/>
        <c:lblOffset val="100"/>
        <c:noMultiLvlLbl val="0"/>
      </c:catAx>
      <c:valAx>
        <c:axId val="2494964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94889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4!PivotTable4</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Operators by Crash Incidents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'QUESTION 4'!$B$4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'QUESTION 4'!$A$5:$A$24</c:f>
              <c:strCache>
                <c:ptCount val="19"/>
                <c:pt idx="0">
                  <c:v>(Brazil) TAM</c:v>
                </c:pt>
                <c:pt idx="1">
                  <c:v>Air Agni</c:v>
                </c:pt>
                <c:pt idx="2">
                  <c:v>Air Lion</c:v>
                </c:pt>
                <c:pt idx="3">
                  <c:v>Air Tara</c:v>
                </c:pt>
                <c:pt idx="4">
                  <c:v>Airlines Indonesia Garuda</c:v>
                </c:pt>
                <c:pt idx="5">
                  <c:v>Airlines International Pakistan</c:v>
                </c:pt>
                <c:pt idx="6">
                  <c:v>Airlines Nusantara Merpati</c:v>
                </c:pt>
                <c:pt idx="7">
                  <c:v>Airlines Yeti</c:v>
                </c:pt>
                <c:pt idx="8">
                  <c:v>Airways Sudan</c:v>
                </c:pt>
                <c:pt idx="9">
                  <c:v>Army U.S. - Military</c:v>
                </c:pt>
                <c:pt idx="10">
                  <c:v>Cargo Air Juba</c:v>
                </c:pt>
                <c:pt idx="11">
                  <c:v>Cargo Air National</c:v>
                </c:pt>
                <c:pt idx="12">
                  <c:v>Colombia Aerosucre</c:v>
                </c:pt>
                <c:pt idx="13">
                  <c:v>Force Air Indian - Military</c:v>
                </c:pt>
                <c:pt idx="14">
                  <c:v>Force Air Indonesian - Military</c:v>
                </c:pt>
                <c:pt idx="15">
                  <c:v>Force Air Nigerian - Military</c:v>
                </c:pt>
                <c:pt idx="16">
                  <c:v>Force Air U.S. - Military</c:v>
                </c:pt>
                <c:pt idx="17">
                  <c:v>Mandiri Aviastar</c:v>
                </c:pt>
                <c:pt idx="18">
                  <c:v>Service Air Trigana</c:v>
                </c:pt>
              </c:strCache>
            </c:strRef>
          </c:cat>
          <c:val>
            <c:numRef>
              <c:f>'QUESTION 4'!$B$5:$B$24</c:f>
              <c:numCache>
                <c:formatCode>General</c:formatCode>
                <c:ptCount val="19"/>
                <c:pt idx="0">
                  <c:v>2</c:v>
                </c:pt>
                <c:pt idx="1">
                  <c:v>2</c:v>
                </c:pt>
                <c:pt idx="2">
                  <c:v>3</c:v>
                </c:pt>
                <c:pt idx="3">
                  <c:v>2</c:v>
                </c:pt>
                <c:pt idx="4">
                  <c:v>2</c:v>
                </c:pt>
                <c:pt idx="5">
                  <c:v>2</c:v>
                </c:pt>
                <c:pt idx="6">
                  <c:v>3</c:v>
                </c:pt>
                <c:pt idx="7">
                  <c:v>4</c:v>
                </c:pt>
                <c:pt idx="8">
                  <c:v>2</c:v>
                </c:pt>
                <c:pt idx="9">
                  <c:v>2</c:v>
                </c:pt>
                <c:pt idx="10">
                  <c:v>2</c:v>
                </c:pt>
                <c:pt idx="11">
                  <c:v>2</c:v>
                </c:pt>
                <c:pt idx="12">
                  <c:v>2</c:v>
                </c:pt>
                <c:pt idx="13">
                  <c:v>2</c:v>
                </c:pt>
                <c:pt idx="14">
                  <c:v>5</c:v>
                </c:pt>
                <c:pt idx="15">
                  <c:v>2</c:v>
                </c:pt>
                <c:pt idx="16">
                  <c:v>2</c:v>
                </c:pt>
                <c:pt idx="17">
                  <c:v>2</c:v>
                </c:pt>
                <c:pt idx="18">
                  <c:v>3</c:v>
                </c:pt>
              </c:numCache>
            </c:numRef>
          </c:val>
          <c:extLst>
            <c:ext xmlns:c16="http://schemas.microsoft.com/office/drawing/2014/chart" uri="{C3380CC4-5D6E-409C-BE32-E72D297353CC}">
              <c16:uniqueId val="{00000000-4370-4EC6-A9AD-6390617584A8}"/>
            </c:ext>
          </c:extLst>
        </c:ser>
        <c:dLbls>
          <c:showLegendKey val="0"/>
          <c:showVal val="0"/>
          <c:showCatName val="0"/>
          <c:showSerName val="0"/>
          <c:showPercent val="0"/>
          <c:showBubbleSize val="0"/>
        </c:dLbls>
        <c:gapWidth val="65"/>
        <c:shape val="box"/>
        <c:axId val="1941328080"/>
        <c:axId val="1941328496"/>
        <c:axId val="0"/>
      </c:bar3DChart>
      <c:catAx>
        <c:axId val="1941328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1328496"/>
        <c:crosses val="autoZero"/>
        <c:auto val="1"/>
        <c:lblAlgn val="ctr"/>
        <c:lblOffset val="100"/>
        <c:noMultiLvlLbl val="0"/>
      </c:catAx>
      <c:valAx>
        <c:axId val="19413284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132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228600">
        <a:schemeClr val="accent1">
          <a:satMod val="175000"/>
          <a:alpha val="40000"/>
        </a:schemeClr>
      </a:glow>
    </a:effectLst>
    <a:scene3d>
      <a:camera prst="orthographicFront"/>
      <a:lightRig rig="threePt" dir="t"/>
    </a:scene3d>
    <a:sp3d>
      <a:bevelT w="114300" prst="artDeco"/>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5!PivotTable1</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Fatalities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rgbClr val="7030A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 5'!$B$3</c:f>
              <c:strCache>
                <c:ptCount val="1"/>
                <c:pt idx="0">
                  <c:v>Total</c:v>
                </c:pt>
              </c:strCache>
            </c:strRef>
          </c:tx>
          <c:dPt>
            <c:idx val="0"/>
            <c:bubble3D val="0"/>
            <c:spPr>
              <a:solidFill>
                <a:srgbClr val="7030A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E16-46D8-82F2-C6C4A198447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C0F-4440-967A-4DB882CF70DB}"/>
              </c:ext>
            </c:extLst>
          </c:dPt>
          <c:dPt>
            <c:idx val="2"/>
            <c:bubble3D val="0"/>
            <c:spPr>
              <a:solidFill>
                <a:srgbClr val="0070C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2E16-46D8-82F2-C6C4A1984476}"/>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C0F-4440-967A-4DB882CF70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'QUESTION 5'!$A$4:$A$8</c:f>
              <c:strCache>
                <c:ptCount val="4"/>
                <c:pt idx="0">
                  <c:v>Africa</c:v>
                </c:pt>
                <c:pt idx="1">
                  <c:v>Asia</c:v>
                </c:pt>
                <c:pt idx="2">
                  <c:v>Latin America &amp; Caribbean</c:v>
                </c:pt>
                <c:pt idx="3">
                  <c:v>Oceania</c:v>
                </c:pt>
              </c:strCache>
            </c:strRef>
          </c:cat>
          <c:val>
            <c:numRef>
              <c:f>'QUESTION 5'!$B$4:$B$8</c:f>
              <c:numCache>
                <c:formatCode>General</c:formatCode>
                <c:ptCount val="4"/>
                <c:pt idx="0">
                  <c:v>137</c:v>
                </c:pt>
                <c:pt idx="1">
                  <c:v>926</c:v>
                </c:pt>
                <c:pt idx="2">
                  <c:v>1224</c:v>
                </c:pt>
                <c:pt idx="3">
                  <c:v>2254</c:v>
                </c:pt>
              </c:numCache>
            </c:numRef>
          </c:val>
          <c:extLst>
            <c:ext xmlns:c16="http://schemas.microsoft.com/office/drawing/2014/chart" uri="{C3380CC4-5D6E-409C-BE32-E72D297353CC}">
              <c16:uniqueId val="{00000000-2E16-46D8-82F2-C6C4A198447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glow rad="228600">
        <a:schemeClr val="accent3">
          <a:satMod val="175000"/>
          <a:alpha val="40000"/>
        </a:schemeClr>
      </a:glow>
    </a:effectLst>
    <a:scene3d>
      <a:camera prst="orthographicFront"/>
      <a:lightRig rig="threePt" dir="t"/>
    </a:scene3d>
    <a:sp3d>
      <a:bevelT w="114300" prst="artDeco"/>
      <a:bevelB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6 !PivotTable8</c:name>
    <c:fmtId val="1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Passengers Aboard by Country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 6 '!$B$3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 6 '!$A$4:$A$14</c:f>
              <c:strCache>
                <c:ptCount val="10"/>
                <c:pt idx="0">
                  <c:v>Afghanistan</c:v>
                </c:pt>
                <c:pt idx="1">
                  <c:v>Brazil</c:v>
                </c:pt>
                <c:pt idx="2">
                  <c:v>Colombia</c:v>
                </c:pt>
                <c:pt idx="3">
                  <c:v>India</c:v>
                </c:pt>
                <c:pt idx="4">
                  <c:v>Indonesia</c:v>
                </c:pt>
                <c:pt idx="5">
                  <c:v>Nepal</c:v>
                </c:pt>
                <c:pt idx="6">
                  <c:v>Nigeria</c:v>
                </c:pt>
                <c:pt idx="7">
                  <c:v>Pakistan</c:v>
                </c:pt>
                <c:pt idx="8">
                  <c:v>Peru</c:v>
                </c:pt>
                <c:pt idx="9">
                  <c:v>Sudan</c:v>
                </c:pt>
              </c:strCache>
            </c:strRef>
          </c:cat>
          <c:val>
            <c:numRef>
              <c:f>'QUESTION 6 '!$B$4:$B$14</c:f>
              <c:numCache>
                <c:formatCode>General</c:formatCode>
                <c:ptCount val="10"/>
                <c:pt idx="0">
                  <c:v>313</c:v>
                </c:pt>
                <c:pt idx="1">
                  <c:v>627</c:v>
                </c:pt>
                <c:pt idx="2">
                  <c:v>477</c:v>
                </c:pt>
                <c:pt idx="3">
                  <c:v>480</c:v>
                </c:pt>
                <c:pt idx="4">
                  <c:v>1498</c:v>
                </c:pt>
                <c:pt idx="5">
                  <c:v>372</c:v>
                </c:pt>
                <c:pt idx="6">
                  <c:v>645</c:v>
                </c:pt>
                <c:pt idx="7">
                  <c:v>524</c:v>
                </c:pt>
                <c:pt idx="8">
                  <c:v>285</c:v>
                </c:pt>
                <c:pt idx="9">
                  <c:v>529</c:v>
                </c:pt>
              </c:numCache>
            </c:numRef>
          </c:val>
          <c:extLst>
            <c:ext xmlns:c16="http://schemas.microsoft.com/office/drawing/2014/chart" uri="{C3380CC4-5D6E-409C-BE32-E72D297353CC}">
              <c16:uniqueId val="{00000000-A220-4075-AEC4-0488BA3E3727}"/>
            </c:ext>
          </c:extLst>
        </c:ser>
        <c:dLbls>
          <c:showLegendKey val="0"/>
          <c:showVal val="1"/>
          <c:showCatName val="0"/>
          <c:showSerName val="0"/>
          <c:showPercent val="0"/>
          <c:showBubbleSize val="0"/>
        </c:dLbls>
        <c:gapWidth val="150"/>
        <c:shape val="box"/>
        <c:axId val="2093288192"/>
        <c:axId val="2093285696"/>
        <c:axId val="0"/>
      </c:bar3DChart>
      <c:catAx>
        <c:axId val="209328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93285696"/>
        <c:crosses val="autoZero"/>
        <c:auto val="1"/>
        <c:lblAlgn val="ctr"/>
        <c:lblOffset val="100"/>
        <c:noMultiLvlLbl val="0"/>
      </c:catAx>
      <c:valAx>
        <c:axId val="20932856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8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7!PivotTable2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Fatalities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'QUESTION 7'!$A$4:$A$19</c:f>
              <c:strCache>
                <c:ptCount val="15"/>
                <c:pt idx="0">
                  <c:v>Indonesia</c:v>
                </c:pt>
                <c:pt idx="1">
                  <c:v>Nigeria</c:v>
                </c:pt>
                <c:pt idx="2">
                  <c:v>Pakistan</c:v>
                </c:pt>
                <c:pt idx="3">
                  <c:v>Brazil</c:v>
                </c:pt>
                <c:pt idx="4">
                  <c:v>Nepal</c:v>
                </c:pt>
                <c:pt idx="5">
                  <c:v>Colombia</c:v>
                </c:pt>
                <c:pt idx="6">
                  <c:v>India</c:v>
                </c:pt>
                <c:pt idx="7">
                  <c:v>Afghanistan</c:v>
                </c:pt>
                <c:pt idx="8">
                  <c:v>Sudan</c:v>
                </c:pt>
                <c:pt idx="9">
                  <c:v>Ethiopia</c:v>
                </c:pt>
                <c:pt idx="10">
                  <c:v>Peru</c:v>
                </c:pt>
                <c:pt idx="11">
                  <c:v>Argentina</c:v>
                </c:pt>
                <c:pt idx="12">
                  <c:v>Kenya</c:v>
                </c:pt>
                <c:pt idx="13">
                  <c:v>Napal</c:v>
                </c:pt>
                <c:pt idx="14">
                  <c:v>Bangladesh</c:v>
                </c:pt>
              </c:strCache>
            </c:strRef>
          </c:cat>
          <c:val>
            <c:numRef>
              <c:f>'QUESTION 7'!$B$4:$B$19</c:f>
              <c:numCache>
                <c:formatCode>General</c:formatCode>
                <c:ptCount val="15"/>
                <c:pt idx="0">
                  <c:v>1014</c:v>
                </c:pt>
                <c:pt idx="1">
                  <c:v>595</c:v>
                </c:pt>
                <c:pt idx="2">
                  <c:v>522</c:v>
                </c:pt>
                <c:pt idx="3">
                  <c:v>506</c:v>
                </c:pt>
                <c:pt idx="4">
                  <c:v>335</c:v>
                </c:pt>
                <c:pt idx="5">
                  <c:v>315</c:v>
                </c:pt>
                <c:pt idx="6">
                  <c:v>295</c:v>
                </c:pt>
                <c:pt idx="7">
                  <c:v>287</c:v>
                </c:pt>
                <c:pt idx="8">
                  <c:v>280</c:v>
                </c:pt>
                <c:pt idx="9">
                  <c:v>158</c:v>
                </c:pt>
                <c:pt idx="10">
                  <c:v>112</c:v>
                </c:pt>
                <c:pt idx="11">
                  <c:v>62</c:v>
                </c:pt>
                <c:pt idx="12">
                  <c:v>48</c:v>
                </c:pt>
                <c:pt idx="13">
                  <c:v>9</c:v>
                </c:pt>
                <c:pt idx="14">
                  <c:v>3</c:v>
                </c:pt>
              </c:numCache>
            </c:numRef>
          </c:val>
          <c:extLst>
            <c:ext xmlns:c16="http://schemas.microsoft.com/office/drawing/2014/chart" uri="{C3380CC4-5D6E-409C-BE32-E72D297353CC}">
              <c16:uniqueId val="{00000000-8A0D-446E-92B8-641567F3736F}"/>
            </c:ext>
          </c:extLst>
        </c:ser>
        <c:dLbls>
          <c:showLegendKey val="0"/>
          <c:showVal val="0"/>
          <c:showCatName val="0"/>
          <c:showSerName val="0"/>
          <c:showPercent val="0"/>
          <c:showBubbleSize val="0"/>
        </c:dLbls>
        <c:gapWidth val="65"/>
        <c:axId val="1954536848"/>
        <c:axId val="1954532272"/>
      </c:barChart>
      <c:catAx>
        <c:axId val="1954536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4532272"/>
        <c:crosses val="autoZero"/>
        <c:auto val="1"/>
        <c:lblAlgn val="ctr"/>
        <c:lblOffset val="100"/>
        <c:noMultiLvlLbl val="0"/>
      </c:catAx>
      <c:valAx>
        <c:axId val="1954532272"/>
        <c:scaling>
          <c:orientation val="minMax"/>
        </c:scaling>
        <c:delete val="1"/>
        <c:axPos val="l"/>
        <c:numFmt formatCode="General" sourceLinked="1"/>
        <c:majorTickMark val="none"/>
        <c:minorTickMark val="none"/>
        <c:tickLblPos val="nextTo"/>
        <c:crossAx val="19545368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228600">
        <a:schemeClr val="accent3">
          <a:satMod val="175000"/>
          <a:alpha val="40000"/>
        </a:schemeClr>
      </a:glo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8!PivotTable3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Fatalities by Operator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'QUESTION 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8'!$A$4:$A$14</c:f>
              <c:strCache>
                <c:ptCount val="10"/>
                <c:pt idx="0">
                  <c:v>(Brazil) TAM</c:v>
                </c:pt>
                <c:pt idx="1">
                  <c:v>Air Dana</c:v>
                </c:pt>
                <c:pt idx="2">
                  <c:v>Air Lion</c:v>
                </c:pt>
                <c:pt idx="3">
                  <c:v>Airblue</c:v>
                </c:pt>
                <c:pt idx="4">
                  <c:v>Airlines Bhoja</c:v>
                </c:pt>
                <c:pt idx="5">
                  <c:v>Airlines Ethiopian</c:v>
                </c:pt>
                <c:pt idx="6">
                  <c:v>Airways Sudan</c:v>
                </c:pt>
                <c:pt idx="7">
                  <c:v>Express India Air</c:v>
                </c:pt>
                <c:pt idx="8">
                  <c:v>Force Air Indonesian - Military</c:v>
                </c:pt>
                <c:pt idx="9">
                  <c:v>Private / Airlines Gol</c:v>
                </c:pt>
              </c:strCache>
            </c:strRef>
          </c:cat>
          <c:val>
            <c:numRef>
              <c:f>'QUESTION 8'!$B$4:$B$14</c:f>
              <c:numCache>
                <c:formatCode>General</c:formatCode>
                <c:ptCount val="10"/>
                <c:pt idx="0">
                  <c:v>188</c:v>
                </c:pt>
                <c:pt idx="1">
                  <c:v>153</c:v>
                </c:pt>
                <c:pt idx="2">
                  <c:v>214</c:v>
                </c:pt>
                <c:pt idx="3">
                  <c:v>152</c:v>
                </c:pt>
                <c:pt idx="4">
                  <c:v>127</c:v>
                </c:pt>
                <c:pt idx="5">
                  <c:v>157</c:v>
                </c:pt>
                <c:pt idx="6">
                  <c:v>149</c:v>
                </c:pt>
                <c:pt idx="7">
                  <c:v>159</c:v>
                </c:pt>
                <c:pt idx="8">
                  <c:v>283</c:v>
                </c:pt>
                <c:pt idx="9">
                  <c:v>154</c:v>
                </c:pt>
              </c:numCache>
            </c:numRef>
          </c:val>
          <c:extLst>
            <c:ext xmlns:c16="http://schemas.microsoft.com/office/drawing/2014/chart" uri="{C3380CC4-5D6E-409C-BE32-E72D297353CC}">
              <c16:uniqueId val="{00000000-4A4A-48D9-8BBA-C2F2F46BDF14}"/>
            </c:ext>
          </c:extLst>
        </c:ser>
        <c:dLbls>
          <c:showLegendKey val="0"/>
          <c:showVal val="1"/>
          <c:showCatName val="0"/>
          <c:showSerName val="0"/>
          <c:showPercent val="0"/>
          <c:showBubbleSize val="0"/>
        </c:dLbls>
        <c:gapWidth val="150"/>
        <c:shape val="box"/>
        <c:axId val="635107856"/>
        <c:axId val="635127408"/>
        <c:axId val="0"/>
      </c:bar3DChart>
      <c:catAx>
        <c:axId val="6351078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127408"/>
        <c:crosses val="autoZero"/>
        <c:auto val="1"/>
        <c:lblAlgn val="ctr"/>
        <c:lblOffset val="100"/>
        <c:noMultiLvlLbl val="0"/>
      </c:catAx>
      <c:valAx>
        <c:axId val="63512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10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228600">
        <a:schemeClr val="accent1">
          <a:satMod val="175000"/>
          <a:alpha val="40000"/>
        </a:schemeClr>
      </a:glow>
      <a:outerShdw blurRad="50800" dist="38100" dir="13500000" algn="br" rotWithShape="0">
        <a:prstClr val="black">
          <a:alpha val="40000"/>
        </a:prstClr>
      </a:outerShdw>
    </a:effectLst>
    <a:scene3d>
      <a:camera prst="orthographicFront"/>
      <a:lightRig rig="threePt" dir="t"/>
    </a:scene3d>
    <a:sp3d>
      <a:bevelT w="114300" prst="artDeco"/>
      <a:bevelB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[Third_World_Data.xlsx]Sheet9!PivotTable5</c:name>
    <c:fmtId val="3"/>
  </c:pivotSource>
  <c:chart>
    <c:title>
      <c:tx>
        <c:rich>
          <a:bodyPr rot="0" spcFirstLastPara="1" vertOverflow="ellipsis" vert="horz" wrap="square" anchor="ctr" anchorCtr="1"/>
          <a:lstStyle/>
          <a:p>
            <a:pPr>
              <a:defRPr sz="1600" b="0" i="0" u="none" strike="noStrike" kern="1200" cap="none" spc="50" baseline="0">
                <a:solidFill>
                  <a:schemeClr val="dk1"/>
                </a:solidFill>
                <a:latin typeface="+mn-lt"/>
                <a:ea typeface="+mn-ea"/>
                <a:cs typeface="+mn-cs"/>
              </a:defRPr>
            </a:pPr>
            <a:r>
              <a:rPr lang="en-US"/>
              <a:t>Deadliest Crash Locations</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dk1"/>
              </a:solidFill>
              <a:latin typeface="+mn-lt"/>
              <a:ea typeface="+mn-ea"/>
              <a:cs typeface="+mn-cs"/>
            </a:defRPr>
          </a:pPr>
          <a:endParaRPr lang="en-US"/>
        </a:p>
      </c:txPr>
    </c:title>
    <c:autoTitleDeleted val="0"/>
    <c:pivotFmts>
      <c:pivotFmt>
        <c:idx val="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c:f>
              <c:strCache>
                <c:ptCount val="1"/>
                <c:pt idx="0">
                  <c:v>Total</c:v>
                </c:pt>
              </c:strCache>
            </c:strRef>
          </c:tx>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invertIfNegative val="0"/>
          <c:cat>
            <c:strRef>
              <c:f>Sheet9!$A$4:$A$14</c:f>
              <c:strCache>
                <c:ptCount val="10"/>
                <c:pt idx="0">
                  <c:v>Bishoftu Ethiopia</c:v>
                </c:pt>
                <c:pt idx="1">
                  <c:v>Islamabad Pakistan</c:v>
                </c:pt>
                <c:pt idx="2">
                  <c:v>Lagos Nigeria</c:v>
                </c:pt>
                <c:pt idx="3">
                  <c:v>Lisa Nigeria</c:v>
                </c:pt>
                <c:pt idx="4">
                  <c:v>Mangalore India</c:v>
                </c:pt>
                <c:pt idx="5">
                  <c:v>Medan Indonesia</c:v>
                </c:pt>
                <c:pt idx="6">
                  <c:v>Near Sao Felix do Araguaia  Brazil</c:v>
                </c:pt>
                <c:pt idx="7">
                  <c:v>Off Jakarta Indonesia</c:v>
                </c:pt>
                <c:pt idx="8">
                  <c:v>Port Sudan Sudan</c:v>
                </c:pt>
                <c:pt idx="9">
                  <c:v>Sao Paulo Brazil</c:v>
                </c:pt>
              </c:strCache>
            </c:strRef>
          </c:cat>
          <c:val>
            <c:numRef>
              <c:f>Sheet9!$B$4:$B$14</c:f>
              <c:numCache>
                <c:formatCode>General</c:formatCode>
                <c:ptCount val="10"/>
                <c:pt idx="0">
                  <c:v>157</c:v>
                </c:pt>
                <c:pt idx="1">
                  <c:v>279</c:v>
                </c:pt>
                <c:pt idx="2">
                  <c:v>169</c:v>
                </c:pt>
                <c:pt idx="3">
                  <c:v>117</c:v>
                </c:pt>
                <c:pt idx="4">
                  <c:v>159</c:v>
                </c:pt>
                <c:pt idx="5">
                  <c:v>221</c:v>
                </c:pt>
                <c:pt idx="6">
                  <c:v>154</c:v>
                </c:pt>
                <c:pt idx="7">
                  <c:v>189</c:v>
                </c:pt>
                <c:pt idx="8">
                  <c:v>117</c:v>
                </c:pt>
                <c:pt idx="9">
                  <c:v>187</c:v>
                </c:pt>
              </c:numCache>
            </c:numRef>
          </c:val>
          <c:extLst>
            <c:ext xmlns:c16="http://schemas.microsoft.com/office/drawing/2014/chart" uri="{C3380CC4-5D6E-409C-BE32-E72D297353CC}">
              <c16:uniqueId val="{00000000-35D8-4D90-95DF-E67831A9676A}"/>
            </c:ext>
          </c:extLst>
        </c:ser>
        <c:dLbls>
          <c:showLegendKey val="0"/>
          <c:showVal val="0"/>
          <c:showCatName val="0"/>
          <c:showSerName val="0"/>
          <c:showPercent val="0"/>
          <c:showBubbleSize val="0"/>
        </c:dLbls>
        <c:gapWidth val="150"/>
        <c:shape val="box"/>
        <c:axId val="635130736"/>
        <c:axId val="635112016"/>
        <c:axId val="0"/>
      </c:bar3DChart>
      <c:catAx>
        <c:axId val="63513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35112016"/>
        <c:crosses val="autoZero"/>
        <c:auto val="1"/>
        <c:lblAlgn val="ctr"/>
        <c:lblOffset val="100"/>
        <c:noMultiLvlLbl val="0"/>
      </c:catAx>
      <c:valAx>
        <c:axId val="63511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513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3"/>
      </a:solidFill>
      <a:prstDash val="solid"/>
      <a:miter lim="800000"/>
    </a:ln>
    <a:effectLst>
      <a:glow rad="228600">
        <a:schemeClr val="accent1">
          <a:alpha val="40000"/>
        </a:schemeClr>
      </a:glow>
    </a:effectLst>
    <a:scene3d>
      <a:camera prst="orthographicFront"/>
      <a:lightRig rig="threePt" dir="t"/>
    </a:scene3d>
    <a:sp3d>
      <a:bevelT w="114300" prst="artDeco"/>
      <a:bevelB prst="slop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[Third_World_Data.xlsx]QUESTION 10!PivotTable7</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Crash Severity Rate by Country</a:t>
            </a:r>
          </a:p>
        </c:rich>
      </c:tx>
      <c:layout>
        <c:manualLayout>
          <c:xMode val="edge"/>
          <c:yMode val="edge"/>
          <c:x val="0.18268044619422572"/>
          <c:y val="2.112100117920042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232195975503064"/>
          <c:y val="0.18763888888888891"/>
          <c:w val="0.58712248468941386"/>
          <c:h val="0.75680555555555551"/>
        </c:manualLayout>
      </c:layout>
      <c:bar3DChart>
        <c:barDir val="bar"/>
        <c:grouping val="stacked"/>
        <c:varyColors val="0"/>
        <c:ser>
          <c:idx val="0"/>
          <c:order val="0"/>
          <c:tx>
            <c:strRef>
              <c:f>'QUESTION 10'!$B$3</c:f>
              <c:strCache>
                <c:ptCount val="1"/>
                <c:pt idx="0">
                  <c:v>Total</c:v>
                </c:pt>
              </c:strCache>
            </c:strRef>
          </c:tx>
          <c:spPr>
            <a:solidFill>
              <a:schemeClr val="accent1"/>
            </a:solidFill>
            <a:ln>
              <a:noFill/>
            </a:ln>
            <a:effectLst/>
            <a:sp3d/>
          </c:spPr>
          <c:invertIfNegative val="0"/>
          <c:cat>
            <c:strRef>
              <c:f>'QUESTION 10'!$A$4:$A$19</c:f>
              <c:strCache>
                <c:ptCount val="15"/>
                <c:pt idx="0">
                  <c:v>Afghanistan</c:v>
                </c:pt>
                <c:pt idx="1">
                  <c:v>Argentina</c:v>
                </c:pt>
                <c:pt idx="2">
                  <c:v>Bangladesh</c:v>
                </c:pt>
                <c:pt idx="3">
                  <c:v>Brazil</c:v>
                </c:pt>
                <c:pt idx="4">
                  <c:v>Colombia</c:v>
                </c:pt>
                <c:pt idx="5">
                  <c:v>Ethiopia</c:v>
                </c:pt>
                <c:pt idx="6">
                  <c:v>India</c:v>
                </c:pt>
                <c:pt idx="7">
                  <c:v>Indonesia</c:v>
                </c:pt>
                <c:pt idx="8">
                  <c:v>Kenya</c:v>
                </c:pt>
                <c:pt idx="9">
                  <c:v>Napal</c:v>
                </c:pt>
                <c:pt idx="10">
                  <c:v>Nepal</c:v>
                </c:pt>
                <c:pt idx="11">
                  <c:v>Nigeria</c:v>
                </c:pt>
                <c:pt idx="12">
                  <c:v>Pakistan</c:v>
                </c:pt>
                <c:pt idx="13">
                  <c:v>Peru</c:v>
                </c:pt>
                <c:pt idx="14">
                  <c:v>Sudan</c:v>
                </c:pt>
              </c:strCache>
            </c:strRef>
          </c:cat>
          <c:val>
            <c:numRef>
              <c:f>'QUESTION 10'!$B$4:$B$19</c:f>
              <c:numCache>
                <c:formatCode>General</c:formatCode>
                <c:ptCount val="15"/>
                <c:pt idx="0">
                  <c:v>12.186904761904762</c:v>
                </c:pt>
                <c:pt idx="1">
                  <c:v>6</c:v>
                </c:pt>
                <c:pt idx="2">
                  <c:v>0.75</c:v>
                </c:pt>
                <c:pt idx="3">
                  <c:v>14.955295202095479</c:v>
                </c:pt>
                <c:pt idx="4">
                  <c:v>16.75846038587099</c:v>
                </c:pt>
                <c:pt idx="5">
                  <c:v>1.1111111111111112</c:v>
                </c:pt>
                <c:pt idx="6">
                  <c:v>6.7939790409170815</c:v>
                </c:pt>
                <c:pt idx="7">
                  <c:v>27.175431547630968</c:v>
                </c:pt>
                <c:pt idx="8">
                  <c:v>5.1042986425339363</c:v>
                </c:pt>
                <c:pt idx="9">
                  <c:v>1</c:v>
                </c:pt>
                <c:pt idx="10">
                  <c:v>15.228448842978123</c:v>
                </c:pt>
                <c:pt idx="11">
                  <c:v>8.5187881562881564</c:v>
                </c:pt>
                <c:pt idx="12">
                  <c:v>8.9797979797979792</c:v>
                </c:pt>
                <c:pt idx="13">
                  <c:v>3.0581632653061224</c:v>
                </c:pt>
                <c:pt idx="14">
                  <c:v>10.93968422543189</c:v>
                </c:pt>
              </c:numCache>
            </c:numRef>
          </c:val>
          <c:extLst>
            <c:ext xmlns:c16="http://schemas.microsoft.com/office/drawing/2014/chart" uri="{C3380CC4-5D6E-409C-BE32-E72D297353CC}">
              <c16:uniqueId val="{00000001-CF2D-4D3E-B4AA-93ADADBB1768}"/>
            </c:ext>
          </c:extLst>
        </c:ser>
        <c:dLbls>
          <c:showLegendKey val="0"/>
          <c:showVal val="0"/>
          <c:showCatName val="0"/>
          <c:showSerName val="0"/>
          <c:showPercent val="0"/>
          <c:showBubbleSize val="0"/>
        </c:dLbls>
        <c:gapWidth val="79"/>
        <c:shape val="box"/>
        <c:axId val="84327120"/>
        <c:axId val="84320464"/>
        <c:axId val="0"/>
      </c:bar3DChart>
      <c:catAx>
        <c:axId val="8432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320464"/>
        <c:crosses val="autoZero"/>
        <c:auto val="1"/>
        <c:lblAlgn val="ctr"/>
        <c:lblOffset val="100"/>
        <c:noMultiLvlLbl val="0"/>
      </c:catAx>
      <c:valAx>
        <c:axId val="84320464"/>
        <c:scaling>
          <c:orientation val="minMax"/>
        </c:scaling>
        <c:delete val="1"/>
        <c:axPos val="b"/>
        <c:numFmt formatCode="General" sourceLinked="1"/>
        <c:majorTickMark val="none"/>
        <c:minorTickMark val="none"/>
        <c:tickLblPos val="nextTo"/>
        <c:crossAx val="8432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a:glow rad="228600">
        <a:schemeClr val="accent3">
          <a:satMod val="175000"/>
          <a:alpha val="40000"/>
        </a:schemeClr>
      </a:glo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167640</xdr:colOff>
      <xdr:row>0</xdr:row>
      <xdr:rowOff>22860</xdr:rowOff>
    </xdr:from>
    <xdr:to>
      <xdr:col>10</xdr:col>
      <xdr:colOff>0</xdr:colOff>
      <xdr:row>2</xdr:row>
      <xdr:rowOff>45720</xdr:rowOff>
    </xdr:to>
    <xdr:sp macro="" textlink="">
      <xdr:nvSpPr>
        <xdr:cNvPr id="15361" name="Text Box 1">
          <a:extLst>
            <a:ext uri="{FF2B5EF4-FFF2-40B4-BE49-F238E27FC236}">
              <a16:creationId xmlns:a16="http://schemas.microsoft.com/office/drawing/2014/main" id="{F2F81A5E-506B-404A-9BB6-F7E25C067459}"/>
            </a:ext>
          </a:extLst>
        </xdr:cNvPr>
        <xdr:cNvSpPr txBox="1">
          <a:spLocks noChangeArrowheads="1"/>
        </xdr:cNvSpPr>
      </xdr:nvSpPr>
      <xdr:spPr bwMode="auto">
        <a:xfrm>
          <a:off x="1996440" y="22860"/>
          <a:ext cx="4099560" cy="388620"/>
        </a:xfrm>
        <a:prstGeom prst="rect">
          <a:avLst/>
        </a:prstGeom>
        <a:solidFill>
          <a:schemeClr val="accent3"/>
        </a:solidFill>
        <a:ln w="9525">
          <a:solidFill>
            <a:srgbClr val="000000"/>
          </a:solidFill>
          <a:miter lim="800000"/>
          <a:headEnd/>
          <a:tailEnd/>
        </a:ln>
      </xdr:spPr>
      <xdr:txBody>
        <a:bodyPr vertOverflow="clip" wrap="square" lIns="36576" tIns="27432" rIns="0" bIns="0" anchor="t" upright="1"/>
        <a:lstStyle/>
        <a:p>
          <a:pPr algn="l" rtl="0">
            <a:defRPr sz="1000"/>
          </a:pPr>
          <a:r>
            <a:rPr lang="en-US" sz="1100" b="1" i="0" u="none" strike="noStrike" baseline="0">
              <a:solidFill>
                <a:schemeClr val="accent4">
                  <a:lumMod val="20000"/>
                  <a:lumOff val="80000"/>
                </a:schemeClr>
              </a:solidFill>
              <a:latin typeface="+mj-lt"/>
              <a:cs typeface="Calibri" panose="020F0502020204030204" pitchFamily="34" charset="0"/>
            </a:rPr>
            <a:t>AIR CRASH INCIDENT ANALYSIS DASHBOARD (2000–2024)</a:t>
          </a:r>
        </a:p>
        <a:p>
          <a:pPr algn="l" rtl="0">
            <a:defRPr sz="1000"/>
          </a:pPr>
          <a:r>
            <a:rPr lang="en-US" sz="1100" b="1" i="0" u="none" strike="noStrike" baseline="0">
              <a:solidFill>
                <a:schemeClr val="accent4">
                  <a:lumMod val="20000"/>
                  <a:lumOff val="80000"/>
                </a:schemeClr>
              </a:solidFill>
              <a:latin typeface="+mj-lt"/>
              <a:cs typeface="Calibri" panose="020F0502020204030204" pitchFamily="34" charset="0"/>
            </a:rPr>
            <a:t>THIRD WORLD COUNTRIES ANALYSIS PROJECT</a:t>
          </a:r>
        </a:p>
      </xdr:txBody>
    </xdr:sp>
    <xdr:clientData/>
  </xdr:twoCellAnchor>
  <xdr:twoCellAnchor>
    <xdr:from>
      <xdr:col>0</xdr:col>
      <xdr:colOff>22860</xdr:colOff>
      <xdr:row>1</xdr:row>
      <xdr:rowOff>68580</xdr:rowOff>
    </xdr:from>
    <xdr:to>
      <xdr:col>1</xdr:col>
      <xdr:colOff>586740</xdr:colOff>
      <xdr:row>17</xdr:row>
      <xdr:rowOff>7620</xdr:rowOff>
    </xdr:to>
    <xdr:sp macro="" textlink="">
      <xdr:nvSpPr>
        <xdr:cNvPr id="5" name="Rectangle: Top Corners Rounded 4">
          <a:extLst>
            <a:ext uri="{FF2B5EF4-FFF2-40B4-BE49-F238E27FC236}">
              <a16:creationId xmlns:a16="http://schemas.microsoft.com/office/drawing/2014/main" id="{EDEB85BB-1601-4835-865E-3FE61CDCBA20}"/>
            </a:ext>
          </a:extLst>
        </xdr:cNvPr>
        <xdr:cNvSpPr/>
      </xdr:nvSpPr>
      <xdr:spPr>
        <a:xfrm>
          <a:off x="22860" y="251460"/>
          <a:ext cx="1173480" cy="5935980"/>
        </a:xfrm>
        <a:prstGeom prst="round2SameRect">
          <a:avLst/>
        </a:prstGeom>
        <a:solidFill>
          <a:schemeClr val="accent3"/>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60960</xdr:colOff>
      <xdr:row>2</xdr:row>
      <xdr:rowOff>106680</xdr:rowOff>
    </xdr:from>
    <xdr:to>
      <xdr:col>11</xdr:col>
      <xdr:colOff>152400</xdr:colOff>
      <xdr:row>2</xdr:row>
      <xdr:rowOff>739140</xdr:rowOff>
    </xdr:to>
    <xdr:sp macro="" textlink="">
      <xdr:nvSpPr>
        <xdr:cNvPr id="6" name="Rectangle 5">
          <a:extLst>
            <a:ext uri="{FF2B5EF4-FFF2-40B4-BE49-F238E27FC236}">
              <a16:creationId xmlns:a16="http://schemas.microsoft.com/office/drawing/2014/main" id="{1093182A-EF7C-4CEA-904A-EB19727413AB}"/>
            </a:ext>
          </a:extLst>
        </xdr:cNvPr>
        <xdr:cNvSpPr/>
      </xdr:nvSpPr>
      <xdr:spPr>
        <a:xfrm>
          <a:off x="1280160" y="472440"/>
          <a:ext cx="5577840" cy="6324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15240</xdr:colOff>
      <xdr:row>2</xdr:row>
      <xdr:rowOff>830580</xdr:rowOff>
    </xdr:from>
    <xdr:to>
      <xdr:col>6</xdr:col>
      <xdr:colOff>68580</xdr:colOff>
      <xdr:row>5</xdr:row>
      <xdr:rowOff>68580</xdr:rowOff>
    </xdr:to>
    <xdr:graphicFrame macro="">
      <xdr:nvGraphicFramePr>
        <xdr:cNvPr id="14" name="Chart 13">
          <a:extLst>
            <a:ext uri="{FF2B5EF4-FFF2-40B4-BE49-F238E27FC236}">
              <a16:creationId xmlns:a16="http://schemas.microsoft.com/office/drawing/2014/main" id="{D87CC3B2-0250-4AF0-A804-093892610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2</xdr:col>
      <xdr:colOff>137160</xdr:colOff>
      <xdr:row>2</xdr:row>
      <xdr:rowOff>175260</xdr:rowOff>
    </xdr:from>
    <xdr:to>
      <xdr:col>4</xdr:col>
      <xdr:colOff>144780</xdr:colOff>
      <xdr:row>2</xdr:row>
      <xdr:rowOff>701040</xdr:rowOff>
    </xdr:to>
    <xdr:sp macro="" textlink="Sheet13!A3">
      <xdr:nvSpPr>
        <xdr:cNvPr id="8" name="Rectangle 7">
          <a:extLst>
            <a:ext uri="{FF2B5EF4-FFF2-40B4-BE49-F238E27FC236}">
              <a16:creationId xmlns:a16="http://schemas.microsoft.com/office/drawing/2014/main" id="{DD0FCAAB-A0D8-4BE7-A816-F4E101D2331F}"/>
            </a:ext>
          </a:extLst>
        </xdr:cNvPr>
        <xdr:cNvSpPr/>
      </xdr:nvSpPr>
      <xdr:spPr>
        <a:xfrm>
          <a:off x="1356360" y="541020"/>
          <a:ext cx="1226820" cy="52578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400" b="1" i="0" u="none" strike="noStrike">
            <a:solidFill>
              <a:srgbClr val="000000"/>
            </a:solidFill>
            <a:latin typeface="Times New Roman"/>
            <a:cs typeface="Times New Roman"/>
          </a:endParaRPr>
        </a:p>
        <a:p>
          <a:pPr algn="l"/>
          <a:r>
            <a:rPr lang="en-US" sz="1400" b="1" i="0" u="none" strike="noStrike">
              <a:solidFill>
                <a:srgbClr val="000000"/>
              </a:solidFill>
              <a:latin typeface="Times New Roman"/>
              <a:cs typeface="Times New Roman"/>
            </a:rPr>
            <a:t>       </a:t>
          </a:r>
          <a:fld id="{3F6DD367-4D32-486F-8C4C-896CC3963CFF}" type="TxLink">
            <a:rPr lang="en-US" sz="1400" b="1" i="0" u="none" strike="noStrike">
              <a:solidFill>
                <a:srgbClr val="000000"/>
              </a:solidFill>
              <a:latin typeface="Times New Roman"/>
              <a:cs typeface="Times New Roman"/>
            </a:rPr>
            <a:pPr algn="l"/>
            <a:t>804</a:t>
          </a:fld>
          <a:endParaRPr lang="en-US" sz="1400" b="1"/>
        </a:p>
      </xdr:txBody>
    </xdr:sp>
    <xdr:clientData/>
  </xdr:twoCellAnchor>
  <xdr:twoCellAnchor>
    <xdr:from>
      <xdr:col>5</xdr:col>
      <xdr:colOff>91440</xdr:colOff>
      <xdr:row>2</xdr:row>
      <xdr:rowOff>152400</xdr:rowOff>
    </xdr:from>
    <xdr:to>
      <xdr:col>7</xdr:col>
      <xdr:colOff>274320</xdr:colOff>
      <xdr:row>2</xdr:row>
      <xdr:rowOff>685800</xdr:rowOff>
    </xdr:to>
    <xdr:sp macro="" textlink="Sheet13!T10">
      <xdr:nvSpPr>
        <xdr:cNvPr id="18" name="Rectangle 17">
          <a:extLst>
            <a:ext uri="{FF2B5EF4-FFF2-40B4-BE49-F238E27FC236}">
              <a16:creationId xmlns:a16="http://schemas.microsoft.com/office/drawing/2014/main" id="{659C396F-D3F3-4537-9584-5FADA3A0DB95}"/>
            </a:ext>
          </a:extLst>
        </xdr:cNvPr>
        <xdr:cNvSpPr/>
      </xdr:nvSpPr>
      <xdr:spPr>
        <a:xfrm>
          <a:off x="3139440" y="518160"/>
          <a:ext cx="1402080" cy="5334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400" b="1" i="0" u="none" strike="noStrike">
            <a:solidFill>
              <a:srgbClr val="000000"/>
            </a:solidFill>
            <a:latin typeface="Times New Roman"/>
            <a:cs typeface="Times New Roman"/>
          </a:endParaRPr>
        </a:p>
        <a:p>
          <a:pPr algn="l"/>
          <a:r>
            <a:rPr lang="en-US" sz="1400" b="1" i="0" u="none" strike="noStrike">
              <a:solidFill>
                <a:srgbClr val="000000"/>
              </a:solidFill>
              <a:latin typeface="Times New Roman"/>
              <a:cs typeface="Times New Roman"/>
            </a:rPr>
            <a:t>           </a:t>
          </a:r>
          <a:fld id="{B923DAE0-781B-4E31-AF35-3D552011F9B8}" type="TxLink">
            <a:rPr lang="en-US" sz="1400" b="1" i="0" u="none" strike="noStrike">
              <a:solidFill>
                <a:srgbClr val="000000"/>
              </a:solidFill>
              <a:latin typeface="Times New Roman"/>
              <a:cs typeface="Times New Roman"/>
            </a:rPr>
            <a:pPr algn="l"/>
            <a:t>4541</a:t>
          </a:fld>
          <a:endParaRPr lang="en-US" sz="1400" b="1"/>
        </a:p>
      </xdr:txBody>
    </xdr:sp>
    <xdr:clientData/>
  </xdr:twoCellAnchor>
  <xdr:twoCellAnchor>
    <xdr:from>
      <xdr:col>8</xdr:col>
      <xdr:colOff>259080</xdr:colOff>
      <xdr:row>2</xdr:row>
      <xdr:rowOff>160020</xdr:rowOff>
    </xdr:from>
    <xdr:to>
      <xdr:col>11</xdr:col>
      <xdr:colOff>137160</xdr:colOff>
      <xdr:row>2</xdr:row>
      <xdr:rowOff>685800</xdr:rowOff>
    </xdr:to>
    <xdr:sp macro="" textlink="Sheet13!G3">
      <xdr:nvSpPr>
        <xdr:cNvPr id="19" name="Rectangle 18">
          <a:extLst>
            <a:ext uri="{FF2B5EF4-FFF2-40B4-BE49-F238E27FC236}">
              <a16:creationId xmlns:a16="http://schemas.microsoft.com/office/drawing/2014/main" id="{51F65D91-1110-4242-80A1-38BD52DAA5D9}"/>
            </a:ext>
          </a:extLst>
        </xdr:cNvPr>
        <xdr:cNvSpPr/>
      </xdr:nvSpPr>
      <xdr:spPr>
        <a:xfrm>
          <a:off x="5135880" y="525780"/>
          <a:ext cx="1706880" cy="52578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400" b="1" i="0" u="none" strike="noStrike">
            <a:solidFill>
              <a:srgbClr val="000000"/>
            </a:solidFill>
            <a:latin typeface="Times New Roman"/>
            <a:cs typeface="Times New Roman"/>
          </a:endParaRPr>
        </a:p>
        <a:p>
          <a:pPr algn="l"/>
          <a:r>
            <a:rPr lang="en-US" sz="1400" b="1" i="0" u="none" strike="noStrike">
              <a:solidFill>
                <a:srgbClr val="000000"/>
              </a:solidFill>
              <a:latin typeface="Times New Roman"/>
              <a:cs typeface="Times New Roman"/>
            </a:rPr>
            <a:t>              </a:t>
          </a:r>
          <a:fld id="{E4D5AE50-F552-4597-BEDA-9D7B8D18AC04}" type="TxLink">
            <a:rPr lang="en-US" sz="1400" b="1" i="0" u="none" strike="noStrike">
              <a:solidFill>
                <a:srgbClr val="000000"/>
              </a:solidFill>
              <a:latin typeface="Times New Roman"/>
              <a:cs typeface="Times New Roman"/>
            </a:rPr>
            <a:pPr algn="l"/>
            <a:t>6071</a:t>
          </a:fld>
          <a:endParaRPr lang="en-US" sz="1400" b="1"/>
        </a:p>
      </xdr:txBody>
    </xdr:sp>
    <xdr:clientData/>
  </xdr:twoCellAnchor>
  <xdr:twoCellAnchor>
    <xdr:from>
      <xdr:col>2</xdr:col>
      <xdr:colOff>167640</xdr:colOff>
      <xdr:row>2</xdr:row>
      <xdr:rowOff>182880</xdr:rowOff>
    </xdr:from>
    <xdr:to>
      <xdr:col>4</xdr:col>
      <xdr:colOff>114300</xdr:colOff>
      <xdr:row>2</xdr:row>
      <xdr:rowOff>426720</xdr:rowOff>
    </xdr:to>
    <xdr:sp macro="" textlink="">
      <xdr:nvSpPr>
        <xdr:cNvPr id="15362" name="Text Box 2">
          <a:extLst>
            <a:ext uri="{FF2B5EF4-FFF2-40B4-BE49-F238E27FC236}">
              <a16:creationId xmlns:a16="http://schemas.microsoft.com/office/drawing/2014/main" id="{445815EA-149A-45F0-88D8-28C2ADE8BF1C}"/>
            </a:ext>
          </a:extLst>
        </xdr:cNvPr>
        <xdr:cNvSpPr txBox="1">
          <a:spLocks noChangeArrowheads="1"/>
        </xdr:cNvSpPr>
      </xdr:nvSpPr>
      <xdr:spPr bwMode="auto">
        <a:xfrm>
          <a:off x="1386840" y="548640"/>
          <a:ext cx="1165860" cy="24384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Sitka Heading" panose="02000505000000020004" pitchFamily="2" charset="0"/>
              <a:cs typeface="Times New Roman"/>
            </a:rPr>
            <a:t>TOTAL CRASHES</a:t>
          </a:r>
        </a:p>
      </xdr:txBody>
    </xdr:sp>
    <xdr:clientData/>
  </xdr:twoCellAnchor>
  <xdr:twoCellAnchor>
    <xdr:from>
      <xdr:col>8</xdr:col>
      <xdr:colOff>365760</xdr:colOff>
      <xdr:row>2</xdr:row>
      <xdr:rowOff>121920</xdr:rowOff>
    </xdr:from>
    <xdr:to>
      <xdr:col>11</xdr:col>
      <xdr:colOff>83820</xdr:colOff>
      <xdr:row>2</xdr:row>
      <xdr:rowOff>335280</xdr:rowOff>
    </xdr:to>
    <xdr:sp macro="" textlink="">
      <xdr:nvSpPr>
        <xdr:cNvPr id="23" name="Text Box 2">
          <a:extLst>
            <a:ext uri="{FF2B5EF4-FFF2-40B4-BE49-F238E27FC236}">
              <a16:creationId xmlns:a16="http://schemas.microsoft.com/office/drawing/2014/main" id="{C8151F92-2F76-4E8B-9721-301F911FAFC3}"/>
            </a:ext>
          </a:extLst>
        </xdr:cNvPr>
        <xdr:cNvSpPr txBox="1">
          <a:spLocks noChangeArrowheads="1"/>
        </xdr:cNvSpPr>
      </xdr:nvSpPr>
      <xdr:spPr bwMode="auto">
        <a:xfrm>
          <a:off x="5242560" y="487680"/>
          <a:ext cx="1546860" cy="213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900" b="1" i="0" u="none" strike="noStrike" baseline="0">
              <a:solidFill>
                <a:srgbClr val="000000"/>
              </a:solidFill>
              <a:latin typeface="Calibri" panose="020F0502020204030204" pitchFamily="34" charset="0"/>
              <a:cs typeface="Calibri" panose="020F0502020204030204" pitchFamily="34" charset="0"/>
            </a:rPr>
            <a:t>TOTAL PASSENGERS ABOARD</a:t>
          </a:r>
        </a:p>
      </xdr:txBody>
    </xdr:sp>
    <xdr:clientData/>
  </xdr:twoCellAnchor>
  <xdr:twoCellAnchor>
    <xdr:from>
      <xdr:col>5</xdr:col>
      <xdr:colOff>259080</xdr:colOff>
      <xdr:row>2</xdr:row>
      <xdr:rowOff>175260</xdr:rowOff>
    </xdr:from>
    <xdr:to>
      <xdr:col>7</xdr:col>
      <xdr:colOff>205740</xdr:colOff>
      <xdr:row>2</xdr:row>
      <xdr:rowOff>373380</xdr:rowOff>
    </xdr:to>
    <xdr:sp macro="" textlink="">
      <xdr:nvSpPr>
        <xdr:cNvPr id="24" name="Text Box 2">
          <a:extLst>
            <a:ext uri="{FF2B5EF4-FFF2-40B4-BE49-F238E27FC236}">
              <a16:creationId xmlns:a16="http://schemas.microsoft.com/office/drawing/2014/main" id="{502CAD95-D25B-4482-ACF4-5FF037636E8C}"/>
            </a:ext>
          </a:extLst>
        </xdr:cNvPr>
        <xdr:cNvSpPr txBox="1">
          <a:spLocks noChangeArrowheads="1"/>
        </xdr:cNvSpPr>
      </xdr:nvSpPr>
      <xdr:spPr bwMode="auto">
        <a:xfrm>
          <a:off x="3307080" y="541020"/>
          <a:ext cx="1165860" cy="19812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900" b="1" i="0" u="none" strike="noStrike" baseline="0">
              <a:solidFill>
                <a:srgbClr val="000000"/>
              </a:solidFill>
              <a:latin typeface="Sitka Heading" panose="02000505000000020004" pitchFamily="2" charset="0"/>
              <a:cs typeface="Times New Roman"/>
            </a:rPr>
            <a:t>TOTAL FATALITIES</a:t>
          </a:r>
        </a:p>
      </xdr:txBody>
    </xdr:sp>
    <xdr:clientData/>
  </xdr:twoCellAnchor>
  <xdr:twoCellAnchor editAs="oneCell">
    <xdr:from>
      <xdr:col>11</xdr:col>
      <xdr:colOff>167640</xdr:colOff>
      <xdr:row>0</xdr:row>
      <xdr:rowOff>22860</xdr:rowOff>
    </xdr:from>
    <xdr:to>
      <xdr:col>13</xdr:col>
      <xdr:colOff>548640</xdr:colOff>
      <xdr:row>2</xdr:row>
      <xdr:rowOff>784860</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717E4B6B-5E0A-43D5-8EA9-50C96BA65CF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57060" y="167640"/>
              <a:ext cx="151638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4</xdr:row>
      <xdr:rowOff>121920</xdr:rowOff>
    </xdr:from>
    <xdr:to>
      <xdr:col>2</xdr:col>
      <xdr:colOff>0</xdr:colOff>
      <xdr:row>7</xdr:row>
      <xdr:rowOff>73152</xdr:rowOff>
    </xdr:to>
    <xdr:sp macro="" textlink="">
      <xdr:nvSpPr>
        <xdr:cNvPr id="22" name="Arrow: Right 21">
          <a:extLst>
            <a:ext uri="{FF2B5EF4-FFF2-40B4-BE49-F238E27FC236}">
              <a16:creationId xmlns:a16="http://schemas.microsoft.com/office/drawing/2014/main" id="{A58AB973-6D13-47AE-AA98-6D28FCE661B7}"/>
            </a:ext>
          </a:extLst>
        </xdr:cNvPr>
        <xdr:cNvSpPr/>
      </xdr:nvSpPr>
      <xdr:spPr>
        <a:xfrm>
          <a:off x="7620" y="4000500"/>
          <a:ext cx="1211580" cy="48463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DASHBOARD</a:t>
          </a:r>
        </a:p>
      </xdr:txBody>
    </xdr:sp>
    <xdr:clientData/>
  </xdr:twoCellAnchor>
  <xdr:twoCellAnchor>
    <xdr:from>
      <xdr:col>10</xdr:col>
      <xdr:colOff>22860</xdr:colOff>
      <xdr:row>2</xdr:row>
      <xdr:rowOff>838200</xdr:rowOff>
    </xdr:from>
    <xdr:to>
      <xdr:col>13</xdr:col>
      <xdr:colOff>579120</xdr:colOff>
      <xdr:row>2</xdr:row>
      <xdr:rowOff>3322320</xdr:rowOff>
    </xdr:to>
    <xdr:graphicFrame macro="">
      <xdr:nvGraphicFramePr>
        <xdr:cNvPr id="33" name="Chart 32">
          <a:extLst>
            <a:ext uri="{FF2B5EF4-FFF2-40B4-BE49-F238E27FC236}">
              <a16:creationId xmlns:a16="http://schemas.microsoft.com/office/drawing/2014/main" id="{62691DEA-E386-412B-ABAC-A2945EE1C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403860</xdr:colOff>
      <xdr:row>5</xdr:row>
      <xdr:rowOff>83820</xdr:rowOff>
    </xdr:from>
    <xdr:to>
      <xdr:col>10</xdr:col>
      <xdr:colOff>373380</xdr:colOff>
      <xdr:row>16</xdr:row>
      <xdr:rowOff>160020</xdr:rowOff>
    </xdr:to>
    <xdr:graphicFrame macro="">
      <xdr:nvGraphicFramePr>
        <xdr:cNvPr id="34" name="Chart 33">
          <a:extLst>
            <a:ext uri="{FF2B5EF4-FFF2-40B4-BE49-F238E27FC236}">
              <a16:creationId xmlns:a16="http://schemas.microsoft.com/office/drawing/2014/main" id="{8C559A20-C5A1-4020-9E94-712EF360D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175260</xdr:rowOff>
    </xdr:from>
    <xdr:to>
      <xdr:col>1</xdr:col>
      <xdr:colOff>601980</xdr:colOff>
      <xdr:row>2</xdr:row>
      <xdr:rowOff>1844040</xdr:rowOff>
    </xdr:to>
    <mc:AlternateContent xmlns:mc="http://schemas.openxmlformats.org/markup-compatibility/2006" xmlns:a14="http://schemas.microsoft.com/office/drawing/2010/main">
      <mc:Choice Requires="a14">
        <xdr:graphicFrame macro="">
          <xdr:nvGraphicFramePr>
            <xdr:cNvPr id="27" name="Country_Region 1">
              <a:extLst>
                <a:ext uri="{FF2B5EF4-FFF2-40B4-BE49-F238E27FC236}">
                  <a16:creationId xmlns:a16="http://schemas.microsoft.com/office/drawing/2014/main" id="{7EDD6D0E-4726-4FBC-8D95-E33CE8B19120}"/>
                </a:ext>
              </a:extLst>
            </xdr:cNvPr>
            <xdr:cNvGraphicFramePr/>
          </xdr:nvGraphicFramePr>
          <xdr:xfrm>
            <a:off x="0" y="0"/>
            <a:ext cx="0" cy="0"/>
          </xdr:xfrm>
          <a:graphic>
            <a:graphicData uri="http://schemas.microsoft.com/office/drawing/2010/slicer">
              <sle:slicer xmlns:sle="http://schemas.microsoft.com/office/drawing/2010/slicer" name="Country_Region 1"/>
            </a:graphicData>
          </a:graphic>
        </xdr:graphicFrame>
      </mc:Choice>
      <mc:Fallback xmlns="">
        <xdr:sp macro="" textlink="">
          <xdr:nvSpPr>
            <xdr:cNvPr id="0" name=""/>
            <xdr:cNvSpPr>
              <a:spLocks noTextEdit="1"/>
            </xdr:cNvSpPr>
          </xdr:nvSpPr>
          <xdr:spPr>
            <a:xfrm>
              <a:off x="0" y="541020"/>
              <a:ext cx="121158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396240</xdr:colOff>
      <xdr:row>3</xdr:row>
      <xdr:rowOff>22860</xdr:rowOff>
    </xdr:from>
    <xdr:to>
      <xdr:col>13</xdr:col>
      <xdr:colOff>571500</xdr:colOff>
      <xdr:row>17</xdr:row>
      <xdr:rowOff>45720</xdr:rowOff>
    </xdr:to>
    <xdr:sp macro="" textlink="">
      <xdr:nvSpPr>
        <xdr:cNvPr id="2" name="Rectangle 1">
          <a:extLst>
            <a:ext uri="{FF2B5EF4-FFF2-40B4-BE49-F238E27FC236}">
              <a16:creationId xmlns:a16="http://schemas.microsoft.com/office/drawing/2014/main" id="{A7E3CA39-F225-41B1-826D-46D70D655AF7}"/>
            </a:ext>
          </a:extLst>
        </xdr:cNvPr>
        <xdr:cNvSpPr/>
      </xdr:nvSpPr>
      <xdr:spPr>
        <a:xfrm>
          <a:off x="6492240" y="3718560"/>
          <a:ext cx="2004060" cy="252222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lang="en-US" sz="1100" b="1"/>
            <a:t>Dashboard Insight</a:t>
          </a:r>
        </a:p>
        <a:p>
          <a:endParaRPr lang="en-US" sz="1100" b="1"/>
        </a:p>
        <a:p>
          <a:r>
            <a:rPr lang="en-US" sz="1000"/>
            <a:t>The dashboard shows that aviation risks are concentrated in a few countries and operators, with Indonesia recording the highest impact. Most fatalities resulted from a small number of severe crashes.</a:t>
          </a:r>
        </a:p>
        <a:p>
          <a:endParaRPr lang="en-US" sz="1000"/>
        </a:p>
        <a:p>
          <a:r>
            <a:rPr lang="en-US" sz="1100" b="1"/>
            <a:t>Solution</a:t>
          </a:r>
        </a:p>
        <a:p>
          <a:r>
            <a:rPr lang="en-US" sz="1000"/>
            <a:t>Improve safety regulations, strengthen aircraft maintenance, enhance pilot training, and closely monitor high-risk operators and routes.</a:t>
          </a:r>
        </a:p>
      </xdr:txBody>
    </xdr:sp>
    <xdr:clientData/>
  </xdr:twoCellAnchor>
  <xdr:twoCellAnchor>
    <xdr:from>
      <xdr:col>2</xdr:col>
      <xdr:colOff>7620</xdr:colOff>
      <xdr:row>5</xdr:row>
      <xdr:rowOff>91440</xdr:rowOff>
    </xdr:from>
    <xdr:to>
      <xdr:col>6</xdr:col>
      <xdr:colOff>396240</xdr:colOff>
      <xdr:row>16</xdr:row>
      <xdr:rowOff>144780</xdr:rowOff>
    </xdr:to>
    <xdr:graphicFrame macro="">
      <xdr:nvGraphicFramePr>
        <xdr:cNvPr id="21" name="Chart 20">
          <a:extLst>
            <a:ext uri="{FF2B5EF4-FFF2-40B4-BE49-F238E27FC236}">
              <a16:creationId xmlns:a16="http://schemas.microsoft.com/office/drawing/2014/main" id="{E8FD6687-8921-42F7-807D-C20172543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xdr:colOff>
      <xdr:row>2</xdr:row>
      <xdr:rowOff>853440</xdr:rowOff>
    </xdr:from>
    <xdr:to>
      <xdr:col>10</xdr:col>
      <xdr:colOff>15240</xdr:colOff>
      <xdr:row>5</xdr:row>
      <xdr:rowOff>30480</xdr:rowOff>
    </xdr:to>
    <xdr:graphicFrame macro="">
      <xdr:nvGraphicFramePr>
        <xdr:cNvPr id="25" name="Chart 24">
          <a:extLst>
            <a:ext uri="{FF2B5EF4-FFF2-40B4-BE49-F238E27FC236}">
              <a16:creationId xmlns:a16="http://schemas.microsoft.com/office/drawing/2014/main" id="{7C9D0B69-8955-4DFC-ABA3-2E995B9CC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2</xdr:row>
      <xdr:rowOff>64770</xdr:rowOff>
    </xdr:from>
    <xdr:to>
      <xdr:col>11</xdr:col>
      <xdr:colOff>480060</xdr:colOff>
      <xdr:row>20</xdr:row>
      <xdr:rowOff>0</xdr:rowOff>
    </xdr:to>
    <xdr:graphicFrame macro="">
      <xdr:nvGraphicFramePr>
        <xdr:cNvPr id="2" name="Chart 1">
          <a:extLst>
            <a:ext uri="{FF2B5EF4-FFF2-40B4-BE49-F238E27FC236}">
              <a16:creationId xmlns:a16="http://schemas.microsoft.com/office/drawing/2014/main" id="{168AD010-5563-4A3A-80D4-BA4B85734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358140</xdr:colOff>
      <xdr:row>2</xdr:row>
      <xdr:rowOff>106680</xdr:rowOff>
    </xdr:from>
    <xdr:to>
      <xdr:col>12</xdr:col>
      <xdr:colOff>99060</xdr:colOff>
      <xdr:row>21</xdr:row>
      <xdr:rowOff>76200</xdr:rowOff>
    </xdr:to>
    <xdr:graphicFrame macro="">
      <xdr:nvGraphicFramePr>
        <xdr:cNvPr id="2" name="Chart 1">
          <a:extLst>
            <a:ext uri="{FF2B5EF4-FFF2-40B4-BE49-F238E27FC236}">
              <a16:creationId xmlns:a16="http://schemas.microsoft.com/office/drawing/2014/main" id="{25AB24F4-34AE-4125-9C45-7D8C5C353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3</xdr:row>
      <xdr:rowOff>87630</xdr:rowOff>
    </xdr:from>
    <xdr:to>
      <xdr:col>11</xdr:col>
      <xdr:colOff>281940</xdr:colOff>
      <xdr:row>21</xdr:row>
      <xdr:rowOff>0</xdr:rowOff>
    </xdr:to>
    <xdr:graphicFrame macro="">
      <xdr:nvGraphicFramePr>
        <xdr:cNvPr id="2" name="Chart 1">
          <a:extLst>
            <a:ext uri="{FF2B5EF4-FFF2-40B4-BE49-F238E27FC236}">
              <a16:creationId xmlns:a16="http://schemas.microsoft.com/office/drawing/2014/main" id="{95861CF7-199F-4C42-B891-34D4AE00D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213360</xdr:colOff>
      <xdr:row>4</xdr:row>
      <xdr:rowOff>53340</xdr:rowOff>
    </xdr:from>
    <xdr:to>
      <xdr:col>12</xdr:col>
      <xdr:colOff>274320</xdr:colOff>
      <xdr:row>21</xdr:row>
      <xdr:rowOff>118110</xdr:rowOff>
    </xdr:to>
    <xdr:graphicFrame macro="">
      <xdr:nvGraphicFramePr>
        <xdr:cNvPr id="2" name="Chart 1">
          <a:extLst>
            <a:ext uri="{FF2B5EF4-FFF2-40B4-BE49-F238E27FC236}">
              <a16:creationId xmlns:a16="http://schemas.microsoft.com/office/drawing/2014/main" id="{09833022-89FE-48D8-846A-405292F17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563880</xdr:colOff>
      <xdr:row>1</xdr:row>
      <xdr:rowOff>144780</xdr:rowOff>
    </xdr:from>
    <xdr:to>
      <xdr:col>12</xdr:col>
      <xdr:colOff>99060</xdr:colOff>
      <xdr:row>19</xdr:row>
      <xdr:rowOff>114300</xdr:rowOff>
    </xdr:to>
    <xdr:graphicFrame macro="">
      <xdr:nvGraphicFramePr>
        <xdr:cNvPr id="2" name="Chart 1">
          <a:extLst>
            <a:ext uri="{FF2B5EF4-FFF2-40B4-BE49-F238E27FC236}">
              <a16:creationId xmlns:a16="http://schemas.microsoft.com/office/drawing/2014/main" id="{9778CEE1-DCCF-4253-87EF-BCD2A69CA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190500</xdr:colOff>
      <xdr:row>1</xdr:row>
      <xdr:rowOff>160020</xdr:rowOff>
    </xdr:from>
    <xdr:to>
      <xdr:col>13</xdr:col>
      <xdr:colOff>228600</xdr:colOff>
      <xdr:row>19</xdr:row>
      <xdr:rowOff>80010</xdr:rowOff>
    </xdr:to>
    <xdr:graphicFrame macro="">
      <xdr:nvGraphicFramePr>
        <xdr:cNvPr id="2" name="Chart 1">
          <a:extLst>
            <a:ext uri="{FF2B5EF4-FFF2-40B4-BE49-F238E27FC236}">
              <a16:creationId xmlns:a16="http://schemas.microsoft.com/office/drawing/2014/main" id="{469D33CE-18CE-4491-B24E-D8EFEC518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594360</xdr:colOff>
      <xdr:row>3</xdr:row>
      <xdr:rowOff>76200</xdr:rowOff>
    </xdr:from>
    <xdr:to>
      <xdr:col>11</xdr:col>
      <xdr:colOff>83820</xdr:colOff>
      <xdr:row>21</xdr:row>
      <xdr:rowOff>7620</xdr:rowOff>
    </xdr:to>
    <xdr:graphicFrame macro="">
      <xdr:nvGraphicFramePr>
        <xdr:cNvPr id="2" name="Chart 1">
          <a:extLst>
            <a:ext uri="{FF2B5EF4-FFF2-40B4-BE49-F238E27FC236}">
              <a16:creationId xmlns:a16="http://schemas.microsoft.com/office/drawing/2014/main" id="{084EBF2E-3151-48E3-9B58-1EFDDB536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601980</xdr:colOff>
      <xdr:row>2</xdr:row>
      <xdr:rowOff>87630</xdr:rowOff>
    </xdr:from>
    <xdr:to>
      <xdr:col>10</xdr:col>
      <xdr:colOff>297180</xdr:colOff>
      <xdr:row>17</xdr:row>
      <xdr:rowOff>87630</xdr:rowOff>
    </xdr:to>
    <xdr:graphicFrame macro="">
      <xdr:nvGraphicFramePr>
        <xdr:cNvPr id="2" name="Chart 1">
          <a:extLst>
            <a:ext uri="{FF2B5EF4-FFF2-40B4-BE49-F238E27FC236}">
              <a16:creationId xmlns:a16="http://schemas.microsoft.com/office/drawing/2014/main" id="{564705F4-F8A6-4681-83E5-4A2BB456D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350520</xdr:colOff>
      <xdr:row>2</xdr:row>
      <xdr:rowOff>11430</xdr:rowOff>
    </xdr:from>
    <xdr:to>
      <xdr:col>11</xdr:col>
      <xdr:colOff>45720</xdr:colOff>
      <xdr:row>17</xdr:row>
      <xdr:rowOff>11430</xdr:rowOff>
    </xdr:to>
    <xdr:graphicFrame macro="">
      <xdr:nvGraphicFramePr>
        <xdr:cNvPr id="3" name="Chart 2">
          <a:extLst>
            <a:ext uri="{FF2B5EF4-FFF2-40B4-BE49-F238E27FC236}">
              <a16:creationId xmlns:a16="http://schemas.microsoft.com/office/drawing/2014/main" id="{538A955F-5C47-4274-AE06-020E4521F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464820</xdr:colOff>
      <xdr:row>2</xdr:row>
      <xdr:rowOff>38100</xdr:rowOff>
    </xdr:from>
    <xdr:to>
      <xdr:col>10</xdr:col>
      <xdr:colOff>601980</xdr:colOff>
      <xdr:row>22</xdr:row>
      <xdr:rowOff>15240</xdr:rowOff>
    </xdr:to>
    <xdr:graphicFrame macro="">
      <xdr:nvGraphicFramePr>
        <xdr:cNvPr id="2" name="Chart 1">
          <a:extLst>
            <a:ext uri="{FF2B5EF4-FFF2-40B4-BE49-F238E27FC236}">
              <a16:creationId xmlns:a16="http://schemas.microsoft.com/office/drawing/2014/main" id="{49AC618D-4B63-4CC9-BA78-8C6D3EBC3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o 1" refreshedDate="46165.651190277778" createdVersion="7" refreshedVersion="7" minRefreshableVersion="3" recordCount="169" xr:uid="{A1F9B488-7079-485E-8397-1F016BC8145A}">
  <cacheSource type="worksheet">
    <worksheetSource name="Table1"/>
  </cacheSource>
  <cacheFields count="9">
    <cacheField name="Year" numFmtId="0">
      <sharedItems containsSemiMixedTypes="0" containsString="0" containsNumber="1" containsInteger="1" minValue="2000" maxValue="2023" count="24">
        <n v="2006"/>
        <n v="2013"/>
        <n v="2001"/>
        <n v="2011"/>
        <n v="2002"/>
        <n v="2012"/>
        <n v="2009"/>
        <n v="2005"/>
        <n v="2007"/>
        <n v="2000"/>
        <n v="2010"/>
        <n v="2020"/>
        <n v="2015"/>
        <n v="2004"/>
        <n v="2016"/>
        <n v="2003"/>
        <n v="2014"/>
        <n v="2021"/>
        <n v="2008"/>
        <n v="2023"/>
        <n v="2019"/>
        <n v="2018"/>
        <n v="2017"/>
        <n v="2022"/>
      </sharedItems>
    </cacheField>
    <cacheField name="Country/Region" numFmtId="0">
      <sharedItems count="15">
        <s v="Afghanistan"/>
        <s v="Argentina"/>
        <s v="Brazil"/>
        <s v="Colombia"/>
        <s v="India"/>
        <s v="Indonesia"/>
        <s v="Kenya"/>
        <s v="Pakistan"/>
        <s v="Peru"/>
        <s v="Sudan"/>
        <s v="Nepal"/>
        <s v="Nigeria"/>
        <s v="Ethiopia"/>
        <s v="Napal"/>
        <s v="Bangladesh"/>
      </sharedItems>
    </cacheField>
    <cacheField name="Location" numFmtId="0">
      <sharedItems count="157">
        <s v="Lashkar Gah Afghanistan"/>
        <s v="Bagram Air Base Afghanistan"/>
        <s v="Near Roque Perez Argentina"/>
        <s v="Manaus Brazil_x0009_Amazonaves"/>
        <s v="PopayÃ¡n Colombia"/>
        <s v="Sabanagrande Colombia"/>
        <s v="Tawang India_x0009_Pawan"/>
        <s v="Denpasar Indonesia"/>
        <s v="Near Wamena Indonesia"/>
        <s v="Enarotali Indonesia"/>
        <s v="Bandung Indonesia"/>
        <s v="Marsabit Kenya"/>
        <s v="Islamabad Pakistan"/>
        <s v="Pisco Peru"/>
        <s v="Adar Yeil Sudan"/>
        <s v="Tangi Valley Afghanistan"/>
        <s v="Near Curitiba Brazil"/>
        <s v="Rio Branco Brazil"/>
        <s v="Cubatao Brazil"/>
        <s v="San Andreas Island Colombia"/>
        <s v="Calicut India"/>
        <s v="Ampisibil Village Indonesia"/>
        <s v="Ninia Indonesia"/>
        <s v="Pokhara Nepal"/>
        <s v="Bastipur Nepal"/>
        <s v="Near Pucallpa Peru"/>
        <s v="Talodi Sudan"/>
        <s v="Near Cachimbo Brazil"/>
        <s v="Curitiba Brazil"/>
        <s v="Uberaba Brazil"/>
        <s v="Puerto Carreno Colombia"/>
        <s v="Mitu Colombia"/>
        <s v="Near Medellin Colombia"/>
        <s v="Near Tanjung Pinanga Indonesia"/>
        <s v="Palunge Hill Nepal"/>
        <s v="Near Port Harcourt Nigeria"/>
        <s v="Near Havlien Pakistan"/>
        <s v="Near Kabul Afghanistan"/>
        <s v="Manacapuru Brazil"/>
        <s v="Off Sarmi Indonesia_x000d__x000a__x0009__x000d__x000a_Sarmi"/>
        <s v="Dana Nepal"/>
        <s v="Sandhikhark Nepal"/>
        <s v="250 miles northwest of Kathmandu Nepal"/>
        <s v="Near Kohat Pakistan"/>
        <s v="Near Khartoum Sudan"/>
        <s v="Adraskan district Afghanistan"/>
        <s v="Near Senador Jose PorfÃ­rio Brazil"/>
        <s v="Manguipayan Colombia"/>
        <s v="Near Ipiales Colombia"/>
        <s v="El Yopal Colombia"/>
        <s v="Near Jakarta Indonesia"/>
        <s v="Near Solo Indonesia"/>
        <s v="Off Parepare Indonesia"/>
        <s v="Near Silimo Indonesia"/>
        <s v="Near Malinau Indonesia"/>
        <s v="Busia Kenya"/>
        <s v="Abuja Nigeria"/>
        <s v="Shamsi AFB Pakistan"/>
        <s v="Near Chachapoyas Peru"/>
        <s v="Geneina Sudan"/>
        <s v="Near Bagram Air Base Afghanistan"/>
        <s v="Kandahar Airport Afghanistan"/>
        <s v="Sao Paulo Brazil"/>
        <s v="Recife Brazil"/>
        <s v="Near Bogota Colombia"/>
        <s v="Near Agustin Codazzi Colombia"/>
        <s v="Villavicencio Colombia"/>
        <s v="Near Shinile Ethiopia"/>
        <s v="Rawalpindi India"/>
        <s v="Patna India"/>
        <s v="Near Long Barai Indonesia"/>
        <s v="Near Nairobi Kenya"/>
        <s v="Mount Kenya Kenya"/>
        <s v="Jodhura Nepal"/>
        <s v="Surkhet Nepal"/>
        <s v="Multan Pakistan"/>
        <s v="Port Sudan Sudan"/>
        <s v="Near Gardez Afghanistan"/>
        <s v="Belo Horizonte Brazil"/>
        <s v="State of Arunachal Pradesh India"/>
        <s v="Near Lipo India"/>
        <s v="Near Salak Mountain Indonesia"/>
        <s v="Jakarta Indonesia"/>
        <s v="Medan Indonesia"/>
        <s v="Jayapura Indonesia"/>
        <s v="Near Njabini Kenya"/>
        <s v="Jumla Napal"/>
        <s v="Lagos Nigeria"/>
        <s v="Khartoum Sudan"/>
        <s v="Near Malakal Sudan"/>
        <s v="Khartoom Sudan"/>
        <s v="Kabul Afghanistan"/>
        <s v="Villa Castelli Argentina"/>
        <s v="Cox's Bazar Bangladesh"/>
        <s v="Rio Bonito Brazil"/>
        <s v="Fazenda Nossa Senhora de Lourdes Brazil"/>
        <s v="Vereda La Bendicion Colombia"/>
        <s v="Bishoftu Ethiopia"/>
        <s v="Yogyakarta Indonesia"/>
        <s v="Mulia Indonesia"/>
        <s v="Jadura Indonesia"/>
        <s v="Kathmandu Nepal"/>
        <s v="Near Bethani Nepal"/>
        <s v="Pieri Sudan"/>
        <s v="Salang pass Afghanistan"/>
        <s v="El Portezulo Argentina"/>
        <s v="Mendoza Argentina"/>
        <s v="Near Prahuaniyeu Argentina"/>
        <s v="Near Manaus Brazil"/>
        <s v="Near San Vicente del Caguan Colombia"/>
        <s v="Carepa Colombia"/>
        <s v="Mangalore India"/>
        <s v="Near Nabire Indonesia"/>
        <s v="Near Madiun Indonesia"/>
        <s v="Near Cidahu Indonesia"/>
        <s v="Off Kaimana Indonesia"/>
        <s v="Mwingi Kenya"/>
        <s v="Near Lukla Nepal"/>
        <s v="Jomsom Nepal"/>
        <s v="Tenzing Nepal"/>
        <s v="Kano Nigeria"/>
        <s v="Near Kaduna Nigeria"/>
        <s v="Near Calabar Nigeria"/>
        <s v="Karachi Pakistan"/>
        <s v="Near Pampa Hermosa Peru"/>
        <s v="Dalang Sudan"/>
        <s v="Jiech Sudan"/>
        <s v="Near Bagram Afghanstan"/>
        <s v="Near La Union Colombia"/>
        <s v="Near Leticia Colombia"/>
        <s v="MedellÃ­n Colombia"/>
        <s v="Tarakan Indonesia"/>
        <s v="Puncak Jaya Indonesia"/>
        <s v="Solo Indonesia"/>
        <s v="Masai Mara Game Reserve Kenya"/>
        <s v="Port Harcourt Nigeria"/>
        <s v="Near Karachi Pakistan"/>
        <s v="Lima Peru"/>
        <s v="Jalalabad Afghanistan"/>
        <s v="Buenos Aires Argentina"/>
        <s v="Near Cubarral Colombia"/>
        <s v="Vasco India"/>
        <s v="Off Jakarta Indonesia"/>
        <s v="Near Ilaga Indonesia"/>
        <s v="Near Masamba Indonesia"/>
        <s v="Lukla Nepal"/>
        <s v="Near Abuja Nigeria"/>
        <s v="Lisa Nigeria"/>
        <s v="Near Omdurman Sudan"/>
        <s v="Kaduqli Sudan"/>
        <s v="Near Kandahar Afghanistan"/>
        <s v="Near Sao Felix do Araguaia  Brazil"/>
        <s v="Barcelos Brazil"/>
        <s v="Mount Montezuma Colombia"/>
        <s v="Near Bohorok Indonesia"/>
        <s v="Near Kathmandu Nepal"/>
        <s v="Vandeikya Nigeria"/>
      </sharedItems>
    </cacheField>
    <cacheField name="Operator" numFmtId="0">
      <sharedItems count="142">
        <s v="(leased) Government U.S."/>
        <s v="Cargo Air National"/>
        <s v="group  Techint - Private"/>
        <s v="Taxi Air"/>
        <s v="Colombia SELVA"/>
        <s v="Colombiana Aerea -Fuerza Military"/>
        <s v="Ltd. Helicopters Hans"/>
        <s v="Air Lion"/>
        <s v="Mandiri Aviastar"/>
        <s v="Air GT"/>
        <s v="Force Air Indonesian - Military"/>
        <s v="Force Air Kenya - Military"/>
        <s v="Airlines Bhoja"/>
        <s v="Peru Del Fuerza - Military"/>
        <s v="Force Air Sudan - Military"/>
        <s v="Army U.S. - Military"/>
        <s v="Aero Taxi Two"/>
        <s v="AÃ©reo Taxi Rico"/>
        <s v="Taxi Air Lider - taxi Air"/>
        <s v="Colombia AIRES"/>
        <s v="Exppress India Air"/>
        <s v="Airlines Nusantara Merpati"/>
        <s v="Air Komala"/>
        <s v="Air La Shangri"/>
        <s v="Air Agni"/>
        <s v="Peru TANS"/>
        <s v="Airlines Alfa"/>
        <s v="Aero Taxi Heringer"/>
        <s v="Force Air Brazilian - Military"/>
        <s v="TÃ¡xi-AÃ©reo NHR"/>
        <s v="Colombia Aerosucre"/>
        <s v="Suramericanas AÃ©reas LÃ­neas"/>
        <s v="Heliandes"/>
        <s v="Police Indonesian"/>
        <s v="Air Tara"/>
        <s v="Airlines Sosoliso"/>
        <s v="Airlines International Pakistan"/>
        <s v="Air Kam"/>
        <s v="Manaus Aerotaxi"/>
        <s v="Indonesia Indonesian National Police"/>
        <s v="Airlines Nepal"/>
        <s v="Airlines Kasthamandap"/>
        <s v="Force Air Pakistan - Military"/>
        <s v="West Air"/>
        <s v="Army Afghan"/>
        <s v="Aereo Taxi Piquiatuba"/>
        <s v="government Colombian - Military"/>
        <s v="TAME"/>
        <s v="Suramericanas Aereas Lineas"/>
        <s v="Air Sriwijaya"/>
        <s v="Airlines Indonesia Garuda"/>
        <s v="Air Adam"/>
        <s v="Navy Indonesia Nasional Tentara - Military"/>
        <s v="Service Air Dirgantara"/>
        <s v="Services Commuter African"/>
        <s v="Airlines Yeti"/>
        <s v="Airways Express Skypower"/>
        <s v="Force Air U.S. - Military"/>
        <s v="Airlines TANS"/>
        <s v="Force Air Sudanese"/>
        <s v="Airlines Way Silk"/>
        <s v="Air Vertical-T"/>
        <s v="(Brazil) TAM"/>
        <s v="AÃ©reas Linhas NOAR"/>
        <s v="Cargo Air Centurian"/>
        <s v="Force Air Colombia - Military"/>
        <s v="Colombia CORAL"/>
        <s v="Airlines Djibouti"/>
        <s v="Army Pakistan - Military"/>
        <s v="Airlines Airlines/Alliance Indian"/>
        <s v="Charter Air Raya Merauke Sabang"/>
        <s v="Aviation International Skyward"/>
        <s v="Charter Air Blake Ryan"/>
        <s v="Airlines Nepal Royal"/>
        <s v="Airways Skyline"/>
        <s v="Airblue"/>
        <s v="Airways Sudan"/>
        <s v="Taxi Air Astro"/>
        <s v="Force Air Indian - Military"/>
        <s v="Air Manunggal"/>
        <s v="SAX Fly"/>
        <s v="Air Dana"/>
        <s v="Cargo Air Juba"/>
        <s v="Aviation Marsland"/>
        <s v="Aviaition Ababeel"/>
        <s v="(NATO) Army Turkish - Military"/>
        <s v="Private"/>
        <s v="Ltd. Aviation True"/>
        <s v="Air Team"/>
        <s v="AÃ©reo Taxi AÃ©reoBahia Taxi AÃ©reoBahia Taxi Bahia"/>
        <s v="Colombia Aereo Laser"/>
        <s v="Airlines Ethiopian"/>
        <s v="Regional Air PT"/>
        <s v="Airlines US-Bangla"/>
        <s v="Mission Nations United"/>
        <s v="Airlines Supreme Sudan South"/>
        <s v="Airlines Pamir"/>
        <s v="Charter - Carlos Don Aereos Transportes"/>
        <s v="Argentina AÃ©rea Fuerza"/>
        <s v="Aereas Lineas SOL"/>
        <s v="Aereas Linhas Rico"/>
        <s v="Colombia Alisansa"/>
        <s v="Petroleros Aerotransportes"/>
        <s v="Express India Air"/>
        <s v="Service Air Trigana"/>
        <s v="Sukhoi"/>
        <s v="Aviation Bird Blue"/>
        <s v="Air Summit"/>
        <s v="Services) Airline (Executive Airlines EAS"/>
        <s v="Force Air Nigerian - Military"/>
        <s v="Services Air Executive Sky"/>
        <s v="Airline International Pakistan"/>
        <s v="Force Air Peruvian - Military"/>
        <s v="Aviation Magal El"/>
        <s v="Cush Air - Charter"/>
        <s v="Taxi Air - Inc. Airways Presidental"/>
        <s v="Bolivia LAMIA"/>
        <s v="SAS Aero"/>
        <s v="Services Air Dirgantara"/>
        <s v="Aviation Eagle"/>
        <s v="Airlines MK"/>
        <s v="Air JS"/>
        <s v="Way Sun"/>
        <s v="LATAM"/>
        <s v="Aerea Linea CATA"/>
        <s v="Aerovanguardia"/>
        <s v="Aviacion de Nacional"/>
        <s v="Navy Indian - Military"/>
        <s v="Mandari Avistar"/>
        <s v="Airlines ADC"/>
        <s v="Airlines Bellview"/>
        <s v="Aviation Associated"/>
        <s v="Force Air Sudanese - Military"/>
        <s v="Airlines Sarit"/>
        <s v="Force Air Royal - Military"/>
        <s v="Private / Airlines Gol"/>
        <s v="Aerotaxi Manaus"/>
        <s v="Colombiana AÃ©rea Fuerza - Military"/>
        <s v="Airlines Mandala"/>
        <s v="Air Buana Nusantara"/>
        <s v="Air Buddha"/>
        <s v="Air Sita"/>
      </sharedItems>
    </cacheField>
    <cacheField name="Fatalities (air)" numFmtId="0">
      <sharedItems containsSemiMixedTypes="0" containsString="0" containsNumber="1" containsInteger="1" minValue="0" maxValue="189"/>
    </cacheField>
    <cacheField name="Aboard" numFmtId="0">
      <sharedItems containsSemiMixedTypes="0" containsString="0" containsNumber="1" containsInteger="1" minValue="2" maxValue="214" count="65">
        <n v="16"/>
        <n v="7"/>
        <n v="10"/>
        <n v="8"/>
        <n v="13"/>
        <n v="23"/>
        <n v="108"/>
        <n v="6"/>
        <n v="18"/>
        <n v="24"/>
        <n v="17"/>
        <n v="127"/>
        <n v="30"/>
        <n v="38"/>
        <n v="2"/>
        <n v="31"/>
        <n v="131"/>
        <n v="190"/>
        <n v="14"/>
        <n v="98"/>
        <n v="32"/>
        <n v="5"/>
        <n v="3"/>
        <n v="22"/>
        <n v="110"/>
        <n v="48"/>
        <n v="104"/>
        <n v="28"/>
        <n v="11"/>
        <n v="20"/>
        <n v="92"/>
        <n v="62"/>
        <n v="102"/>
        <n v="9"/>
        <n v="72"/>
        <n v="46"/>
        <n v="21"/>
        <n v="187"/>
        <n v="19"/>
        <n v="58"/>
        <n v="4"/>
        <n v="25"/>
        <n v="152"/>
        <n v="45"/>
        <n v="117"/>
        <n v="122"/>
        <n v="153"/>
        <n v="214"/>
        <n v="42"/>
        <n v="12"/>
        <n v="157"/>
        <n v="140"/>
        <n v="71"/>
        <n v="44"/>
        <n v="33"/>
        <n v="166"/>
        <n v="112"/>
        <n v="27"/>
        <n v="77"/>
        <n v="99"/>
        <n v="163"/>
        <n v="189"/>
        <n v="105"/>
        <n v="161"/>
        <n v="82"/>
      </sharedItems>
    </cacheField>
    <cacheField name="Crash_Count" numFmtId="0">
      <sharedItems containsSemiMixedTypes="0" containsString="0" containsNumber="1" containsInteger="1" minValue="1" maxValue="1" count="1">
        <n v="1"/>
      </sharedItems>
    </cacheField>
    <cacheField name="Survivors" numFmtId="0">
      <sharedItems containsSemiMixedTypes="0" containsString="0" containsNumber="1" containsInteger="1" minValue="0" maxValue="182"/>
    </cacheField>
    <cacheField name="FATALITY RATE" numFmtId="0">
      <sharedItems containsSemiMixedTypes="0" containsString="0" containsNumber="1" minValue="0" maxValue="1" count="55">
        <n v="0.125"/>
        <n v="1"/>
        <n v="0.375"/>
        <n v="0.78260869565217395"/>
        <n v="0"/>
        <n v="0.82352941176470584"/>
        <n v="0.46666666666666667"/>
        <n v="0.74193548387096775"/>
        <n v="1.5267175572519083E-2"/>
        <n v="0.10526315789473684"/>
        <n v="0.16666666666666666"/>
        <n v="0.40816326530612246"/>
        <n v="0.1875"/>
        <n v="0.83333333333333337"/>
        <n v="0.98181818181818181"/>
        <n v="0.8571428571428571"/>
        <n v="0.18181818181818182"/>
        <n v="0.2"/>
        <n v="0.5"/>
        <n v="1.6129032258064516E-2"/>
        <n v="0.23076923076923078"/>
        <n v="6.25E-2"/>
        <n v="0.76190476190476186"/>
        <n v="0.68421052631578949"/>
        <n v="0.1111111111111111"/>
        <n v="0.94827586206896552"/>
        <n v="0.3"/>
        <n v="5.2631578947368418E-2"/>
        <n v="0.14953271028037382"/>
        <n v="0.875"/>
        <n v="0.75"/>
        <n v="0.15714285714285714"/>
        <n v="0.25"/>
        <n v="0.71830985915492962"/>
        <n v="0.42857142857142855"/>
        <n v="0.95783132530120485"/>
        <n v="0.7142857142857143"/>
        <n v="0.66666666666666663"/>
        <n v="0.96103896103896103"/>
        <n v="0.97979797979797978"/>
        <n v="0.65"/>
        <n v="0.6"/>
        <n v="0.92207792207792205"/>
        <n v="0.7"/>
        <n v="0.15337423312883436"/>
        <n v="0.05"/>
        <n v="7.6923076923076927E-2"/>
        <n v="0.94736842105263153"/>
        <n v="0.91428571428571426"/>
        <n v="0.8"/>
        <n v="0.68181818181818177"/>
        <n v="0.95652173913043481"/>
        <n v="1.2195121951219513E-2"/>
        <n v="0.84615384615384615"/>
        <n v="0.72222222222222221"/>
      </sharedItems>
    </cacheField>
  </cacheFields>
  <extLst>
    <ext xmlns:x14="http://schemas.microsoft.com/office/spreadsheetml/2009/9/main" uri="{725AE2AE-9491-48be-B2B4-4EB974FC3084}">
      <x14:pivotCacheDefinition pivotCacheId="1209278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o 1" refreshedDate="46170.608428009262" backgroundQuery="1" createdVersion="7" refreshedVersion="7" minRefreshableVersion="3" recordCount="0" supportSubquery="1" supportAdvancedDrill="1" xr:uid="{5D677976-CAED-4A7E-963D-2BCBBB40B3B1}">
  <cacheSource type="external" connectionId="2"/>
  <cacheFields count="2">
    <cacheField name="[Table1].[REGION COLUMN].[REGION COLUMN]" caption="REGION COLUMN" numFmtId="0" hierarchy="9" level="1">
      <sharedItems containsSemiMixedTypes="0" containsNonDate="0" containsString="0"/>
    </cacheField>
    <cacheField name="[Table1].[Year].[Year]" caption="Year" numFmtId="0" level="1">
      <sharedItems containsSemiMixedTypes="0" containsNonDate="0" containsString="0"/>
    </cacheField>
  </cacheFields>
  <cacheHierarchies count="15">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Country_Region]" caption="Country_Region" attribute="1" defaultMemberUniqueName="[Table1].[Country_Region].[All]" allUniqueName="[Table1].[Country_Region].[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Fatalities (air)]" caption="Fatalities (air)" attribute="1" defaultMemberUniqueName="[Table1].[Fatalities (air)].[All]" allUniqueName="[Table1].[Fatalities (air)].[All]" dimensionUniqueName="[Table1]" displayFolder="" count="0" memberValueDatatype="20" unbalanced="0"/>
    <cacheHierarchy uniqueName="[Table1].[Aboard]" caption="Aboard" attribute="1" defaultMemberUniqueName="[Table1].[Aboard].[All]" allUniqueName="[Table1].[Aboard].[All]" dimensionUniqueName="[Table1]" displayFolder="" count="0" memberValueDatatype="20" unbalanced="0"/>
    <cacheHierarchy uniqueName="[Table1].[Crash_Count]" caption="Crash_Count" attribute="1" defaultMemberUniqueName="[Table1].[Crash_Count].[All]" allUniqueName="[Table1].[Crash_Count].[All]" dimensionUniqueName="[Table1]" displayFolder="" count="0" memberValueDatatype="20" unbalanced="0"/>
    <cacheHierarchy uniqueName="[Table1].[Survivors]" caption="Survivors" attribute="1" defaultMemberUniqueName="[Table1].[Survivors].[All]" allUniqueName="[Table1].[Survivors].[All]" dimensionUniqueName="[Table1]" displayFolder="" count="0" memberValueDatatype="20" unbalanced="0"/>
    <cacheHierarchy uniqueName="[Table1].[FATALITY RATE]" caption="FATALITY RATE" attribute="1" defaultMemberUniqueName="[Table1].[FATALITY RATE].[All]" allUniqueName="[Table1].[FATALITY RATE].[All]" dimensionUniqueName="[Table1]" displayFolder="" count="0" memberValueDatatype="130" unbalanced="0"/>
    <cacheHierarchy uniqueName="[Table1].[REGION COLUMN]" caption="REGION COLUMN" attribute="1" defaultMemberUniqueName="[Table1].[REGION COLUMN].[All]" allUniqueName="[Table1].[REGION COLUMN].[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talities (air)]" caption="Sum of Fatalities (air)" measure="1" displayFolder="" measureGroup="Table1" count="0" hidden="1">
      <extLst>
        <ext xmlns:x15="http://schemas.microsoft.com/office/spreadsheetml/2010/11/main" uri="{B97F6D7D-B522-45F9-BDA1-12C45D357490}">
          <x15:cacheHierarchy aggregatedColumn="4"/>
        </ext>
      </extLst>
    </cacheHierarchy>
    <cacheHierarchy uniqueName="[Measures].[Count of REGION COLUMN]" caption="Count of REGION COLUMN" measure="1" displayFolder="" measureGroup="Table1" count="0" hidden="1">
      <extLst>
        <ext xmlns:x15="http://schemas.microsoft.com/office/spreadsheetml/2010/11/main" uri="{B97F6D7D-B522-45F9-BDA1-12C45D357490}">
          <x15:cacheHierarchy aggregatedColumn="9"/>
        </ext>
      </extLst>
    </cacheHierarchy>
    <cacheHierarchy uniqueName="[Measures].[Sum of Crash_Count]" caption="Sum of Crash_C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o 1" refreshedDate="46167.543766898147" backgroundQuery="1" createdVersion="7" refreshedVersion="7" minRefreshableVersion="3" recordCount="0" supportSubquery="1" supportAdvancedDrill="1" xr:uid="{52AE125D-D770-458F-998B-22E0EDE3542E}">
  <cacheSource type="external" connectionId="2"/>
  <cacheFields count="2">
    <cacheField name="[Table1].[REGION COLUMN].[REGION COLUMN]" caption="REGION COLUMN" numFmtId="0" hierarchy="9" level="1">
      <sharedItems count="4">
        <s v="Africa"/>
        <s v="Asia"/>
        <s v="Latin America &amp; Caribbean"/>
        <s v="Oceania"/>
      </sharedItems>
    </cacheField>
    <cacheField name="[Measures].[Sum of Fatalities (air)]" caption="Sum of Fatalities (air)" numFmtId="0" hierarchy="12" level="32767"/>
  </cacheFields>
  <cacheHierarchies count="15">
    <cacheHierarchy uniqueName="[Table1].[Year]" caption="Year" attribute="1" defaultMemberUniqueName="[Table1].[Year].[All]" allUniqueName="[Table1].[Year].[All]" dimensionUniqueName="[Table1]" displayFolder="" count="0" memberValueDatatype="20" unbalanced="0"/>
    <cacheHierarchy uniqueName="[Table1].[Country_Region]" caption="Country_Region" attribute="1" defaultMemberUniqueName="[Table1].[Country_Region].[All]" allUniqueName="[Table1].[Country_Region].[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Fatalities (air)]" caption="Fatalities (air)" attribute="1" defaultMemberUniqueName="[Table1].[Fatalities (air)].[All]" allUniqueName="[Table1].[Fatalities (air)].[All]" dimensionUniqueName="[Table1]" displayFolder="" count="0" memberValueDatatype="20" unbalanced="0"/>
    <cacheHierarchy uniqueName="[Table1].[Aboard]" caption="Aboard" attribute="1" defaultMemberUniqueName="[Table1].[Aboard].[All]" allUniqueName="[Table1].[Aboard].[All]" dimensionUniqueName="[Table1]" displayFolder="" count="0" memberValueDatatype="20" unbalanced="0"/>
    <cacheHierarchy uniqueName="[Table1].[Crash_Count]" caption="Crash_Count" attribute="1" defaultMemberUniqueName="[Table1].[Crash_Count].[All]" allUniqueName="[Table1].[Crash_Count].[All]" dimensionUniqueName="[Table1]" displayFolder="" count="0" memberValueDatatype="20" unbalanced="0"/>
    <cacheHierarchy uniqueName="[Table1].[Survivors]" caption="Survivors" attribute="1" defaultMemberUniqueName="[Table1].[Survivors].[All]" allUniqueName="[Table1].[Survivors].[All]" dimensionUniqueName="[Table1]" displayFolder="" count="0" memberValueDatatype="20" unbalanced="0"/>
    <cacheHierarchy uniqueName="[Table1].[FATALITY RATE]" caption="FATALITY RATE" attribute="1" defaultMemberUniqueName="[Table1].[FATALITY RATE].[All]" allUniqueName="[Table1].[FATALITY RATE].[All]" dimensionUniqueName="[Table1]" displayFolder="" count="0" memberValueDatatype="130" unbalanced="0"/>
    <cacheHierarchy uniqueName="[Table1].[REGION COLUMN]" caption="REGION COLUMN" attribute="1" defaultMemberUniqueName="[Table1].[REGION COLUMN].[All]" allUniqueName="[Table1].[REGION COLUMN].[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talities (air)]" caption="Sum of Fatalities (air)"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REGION COLUMN]" caption="Count of REGION COLUMN" measure="1" displayFolder="" measureGroup="Table1" count="0" hidden="1">
      <extLst>
        <ext xmlns:x15="http://schemas.microsoft.com/office/spreadsheetml/2010/11/main" uri="{B97F6D7D-B522-45F9-BDA1-12C45D357490}">
          <x15:cacheHierarchy aggregatedColumn="9"/>
        </ext>
      </extLst>
    </cacheHierarchy>
    <cacheHierarchy uniqueName="[Measures].[Sum of Crash_Count]" caption="Sum of Crash_C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o 1" refreshedDate="46167.605067013887" backgroundQuery="1" createdVersion="3" refreshedVersion="7" minRefreshableVersion="3" recordCount="0" supportSubquery="1" supportAdvancedDrill="1" xr:uid="{8FC85D20-7EAE-46AA-8F3A-81BC59EEC63D}">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Table1].[Year]" caption="Year" attribute="1" defaultMemberUniqueName="[Table1].[Year].[All]" allUniqueName="[Table1].[Year].[All]" dimensionUniqueName="[Table1]" displayFolder="" count="2" memberValueDatatype="20" unbalanced="0"/>
    <cacheHierarchy uniqueName="[Table1].[Country_Region]" caption="Country_Region" attribute="1" defaultMemberUniqueName="[Table1].[Country_Region].[All]" allUniqueName="[Table1].[Country_Region].[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Fatalities (air)]" caption="Fatalities (air)" attribute="1" defaultMemberUniqueName="[Table1].[Fatalities (air)].[All]" allUniqueName="[Table1].[Fatalities (air)].[All]" dimensionUniqueName="[Table1]" displayFolder="" count="2" memberValueDatatype="20" unbalanced="0"/>
    <cacheHierarchy uniqueName="[Table1].[Aboard]" caption="Aboard" attribute="1" defaultMemberUniqueName="[Table1].[Aboard].[All]" allUniqueName="[Table1].[Aboard].[All]" dimensionUniqueName="[Table1]" displayFolder="" count="2" memberValueDatatype="20" unbalanced="0"/>
    <cacheHierarchy uniqueName="[Table1].[Crash_Count]" caption="Crash_Count" attribute="1" defaultMemberUniqueName="[Table1].[Crash_Count].[All]" allUniqueName="[Table1].[Crash_Count].[All]" dimensionUniqueName="[Table1]" displayFolder="" count="0" memberValueDatatype="20" unbalanced="0"/>
    <cacheHierarchy uniqueName="[Table1].[Survivors]" caption="Survivors" attribute="1" defaultMemberUniqueName="[Table1].[Survivors].[All]" allUniqueName="[Table1].[Survivors].[All]" dimensionUniqueName="[Table1]" displayFolder="" count="2" memberValueDatatype="20" unbalanced="0"/>
    <cacheHierarchy uniqueName="[Table1].[FATALITY RATE]" caption="FATALITY RATE" attribute="1" defaultMemberUniqueName="[Table1].[FATALITY RATE].[All]" allUniqueName="[Table1].[FATALITY RATE].[All]" dimensionUniqueName="[Table1]" displayFolder="" count="0" memberValueDatatype="130" unbalanced="0"/>
    <cacheHierarchy uniqueName="[Table1].[REGION COLUMN]" caption="REGION COLUMN" attribute="1" defaultMemberUniqueName="[Table1].[REGION COLUMN].[All]" allUniqueName="[Table1].[REGION COLUM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talities (air)]" caption="Sum of Fatalities (air)"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15100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x v="0"/>
    <x v="0"/>
    <x v="0"/>
    <x v="0"/>
    <n v="2"/>
    <x v="0"/>
    <x v="0"/>
    <n v="14"/>
    <x v="0"/>
  </r>
  <r>
    <x v="1"/>
    <x v="0"/>
    <x v="1"/>
    <x v="1"/>
    <n v="7"/>
    <x v="1"/>
    <x v="0"/>
    <n v="0"/>
    <x v="1"/>
  </r>
  <r>
    <x v="2"/>
    <x v="1"/>
    <x v="2"/>
    <x v="2"/>
    <n v="10"/>
    <x v="2"/>
    <x v="0"/>
    <n v="0"/>
    <x v="1"/>
  </r>
  <r>
    <x v="3"/>
    <x v="2"/>
    <x v="3"/>
    <x v="3"/>
    <n v="7"/>
    <x v="1"/>
    <x v="0"/>
    <n v="0"/>
    <x v="1"/>
  </r>
  <r>
    <x v="4"/>
    <x v="3"/>
    <x v="4"/>
    <x v="4"/>
    <n v="3"/>
    <x v="3"/>
    <x v="0"/>
    <n v="5"/>
    <x v="2"/>
  </r>
  <r>
    <x v="5"/>
    <x v="3"/>
    <x v="5"/>
    <x v="5"/>
    <n v="13"/>
    <x v="4"/>
    <x v="0"/>
    <n v="0"/>
    <x v="1"/>
  </r>
  <r>
    <x v="3"/>
    <x v="4"/>
    <x v="6"/>
    <x v="6"/>
    <n v="18"/>
    <x v="5"/>
    <x v="0"/>
    <n v="5"/>
    <x v="3"/>
  </r>
  <r>
    <x v="1"/>
    <x v="5"/>
    <x v="7"/>
    <x v="7"/>
    <n v="0"/>
    <x v="6"/>
    <x v="0"/>
    <n v="108"/>
    <x v="4"/>
  </r>
  <r>
    <x v="6"/>
    <x v="5"/>
    <x v="8"/>
    <x v="8"/>
    <n v="6"/>
    <x v="7"/>
    <x v="0"/>
    <n v="0"/>
    <x v="1"/>
  </r>
  <r>
    <x v="7"/>
    <x v="5"/>
    <x v="9"/>
    <x v="9"/>
    <n v="18"/>
    <x v="8"/>
    <x v="0"/>
    <n v="0"/>
    <x v="1"/>
  </r>
  <r>
    <x v="6"/>
    <x v="5"/>
    <x v="10"/>
    <x v="10"/>
    <n v="24"/>
    <x v="9"/>
    <x v="0"/>
    <n v="0"/>
    <x v="1"/>
  </r>
  <r>
    <x v="0"/>
    <x v="6"/>
    <x v="11"/>
    <x v="11"/>
    <n v="14"/>
    <x v="10"/>
    <x v="0"/>
    <n v="3"/>
    <x v="5"/>
  </r>
  <r>
    <x v="5"/>
    <x v="7"/>
    <x v="12"/>
    <x v="12"/>
    <n v="127"/>
    <x v="11"/>
    <x v="0"/>
    <n v="0"/>
    <x v="1"/>
  </r>
  <r>
    <x v="7"/>
    <x v="8"/>
    <x v="13"/>
    <x v="13"/>
    <n v="13"/>
    <x v="4"/>
    <x v="0"/>
    <n v="0"/>
    <x v="1"/>
  </r>
  <r>
    <x v="2"/>
    <x v="9"/>
    <x v="14"/>
    <x v="14"/>
    <n v="14"/>
    <x v="12"/>
    <x v="0"/>
    <n v="16"/>
    <x v="6"/>
  </r>
  <r>
    <x v="3"/>
    <x v="0"/>
    <x v="15"/>
    <x v="15"/>
    <n v="38"/>
    <x v="13"/>
    <x v="0"/>
    <n v="0"/>
    <x v="1"/>
  </r>
  <r>
    <x v="8"/>
    <x v="2"/>
    <x v="16"/>
    <x v="16"/>
    <n v="2"/>
    <x v="14"/>
    <x v="0"/>
    <n v="0"/>
    <x v="1"/>
  </r>
  <r>
    <x v="4"/>
    <x v="2"/>
    <x v="17"/>
    <x v="17"/>
    <n v="23"/>
    <x v="15"/>
    <x v="0"/>
    <n v="8"/>
    <x v="7"/>
  </r>
  <r>
    <x v="9"/>
    <x v="2"/>
    <x v="18"/>
    <x v="18"/>
    <n v="6"/>
    <x v="7"/>
    <x v="0"/>
    <n v="0"/>
    <x v="1"/>
  </r>
  <r>
    <x v="10"/>
    <x v="3"/>
    <x v="19"/>
    <x v="19"/>
    <n v="2"/>
    <x v="16"/>
    <x v="0"/>
    <n v="129"/>
    <x v="8"/>
  </r>
  <r>
    <x v="11"/>
    <x v="4"/>
    <x v="20"/>
    <x v="20"/>
    <n v="20"/>
    <x v="17"/>
    <x v="0"/>
    <n v="170"/>
    <x v="9"/>
  </r>
  <r>
    <x v="6"/>
    <x v="5"/>
    <x v="21"/>
    <x v="21"/>
    <n v="16"/>
    <x v="0"/>
    <x v="0"/>
    <n v="0"/>
    <x v="1"/>
  </r>
  <r>
    <x v="12"/>
    <x v="5"/>
    <x v="22"/>
    <x v="22"/>
    <n v="1"/>
    <x v="7"/>
    <x v="0"/>
    <n v="5"/>
    <x v="10"/>
  </r>
  <r>
    <x v="4"/>
    <x v="10"/>
    <x v="23"/>
    <x v="23"/>
    <n v="18"/>
    <x v="8"/>
    <x v="0"/>
    <n v="0"/>
    <x v="1"/>
  </r>
  <r>
    <x v="10"/>
    <x v="10"/>
    <x v="24"/>
    <x v="24"/>
    <n v="14"/>
    <x v="18"/>
    <x v="0"/>
    <n v="0"/>
    <x v="1"/>
  </r>
  <r>
    <x v="7"/>
    <x v="8"/>
    <x v="25"/>
    <x v="25"/>
    <n v="40"/>
    <x v="19"/>
    <x v="0"/>
    <n v="58"/>
    <x v="11"/>
  </r>
  <r>
    <x v="5"/>
    <x v="9"/>
    <x v="26"/>
    <x v="26"/>
    <n v="32"/>
    <x v="20"/>
    <x v="0"/>
    <n v="0"/>
    <x v="1"/>
  </r>
  <r>
    <x v="1"/>
    <x v="2"/>
    <x v="27"/>
    <x v="27"/>
    <n v="5"/>
    <x v="21"/>
    <x v="0"/>
    <n v="0"/>
    <x v="1"/>
  </r>
  <r>
    <x v="4"/>
    <x v="2"/>
    <x v="28"/>
    <x v="28"/>
    <n v="3"/>
    <x v="0"/>
    <x v="0"/>
    <n v="13"/>
    <x v="12"/>
  </r>
  <r>
    <x v="13"/>
    <x v="2"/>
    <x v="29"/>
    <x v="29"/>
    <n v="2"/>
    <x v="14"/>
    <x v="0"/>
    <n v="0"/>
    <x v="1"/>
  </r>
  <r>
    <x v="14"/>
    <x v="3"/>
    <x v="30"/>
    <x v="30"/>
    <n v="5"/>
    <x v="7"/>
    <x v="0"/>
    <n v="1"/>
    <x v="13"/>
  </r>
  <r>
    <x v="15"/>
    <x v="3"/>
    <x v="31"/>
    <x v="31"/>
    <n v="3"/>
    <x v="22"/>
    <x v="0"/>
    <n v="0"/>
    <x v="1"/>
  </r>
  <r>
    <x v="2"/>
    <x v="3"/>
    <x v="32"/>
    <x v="32"/>
    <n v="16"/>
    <x v="0"/>
    <x v="0"/>
    <n v="0"/>
    <x v="1"/>
  </r>
  <r>
    <x v="14"/>
    <x v="5"/>
    <x v="33"/>
    <x v="33"/>
    <n v="13"/>
    <x v="4"/>
    <x v="0"/>
    <n v="0"/>
    <x v="1"/>
  </r>
  <r>
    <x v="10"/>
    <x v="10"/>
    <x v="34"/>
    <x v="34"/>
    <n v="22"/>
    <x v="23"/>
    <x v="0"/>
    <n v="0"/>
    <x v="1"/>
  </r>
  <r>
    <x v="7"/>
    <x v="11"/>
    <x v="35"/>
    <x v="35"/>
    <n v="108"/>
    <x v="24"/>
    <x v="0"/>
    <n v="2"/>
    <x v="14"/>
  </r>
  <r>
    <x v="14"/>
    <x v="7"/>
    <x v="36"/>
    <x v="36"/>
    <n v="48"/>
    <x v="25"/>
    <x v="0"/>
    <n v="0"/>
    <x v="1"/>
  </r>
  <r>
    <x v="7"/>
    <x v="0"/>
    <x v="37"/>
    <x v="37"/>
    <n v="104"/>
    <x v="26"/>
    <x v="0"/>
    <n v="0"/>
    <x v="1"/>
  </r>
  <r>
    <x v="6"/>
    <x v="2"/>
    <x v="38"/>
    <x v="38"/>
    <n v="24"/>
    <x v="27"/>
    <x v="0"/>
    <n v="4"/>
    <x v="15"/>
  </r>
  <r>
    <x v="7"/>
    <x v="5"/>
    <x v="39"/>
    <x v="39"/>
    <n v="15"/>
    <x v="8"/>
    <x v="0"/>
    <n v="3"/>
    <x v="13"/>
  </r>
  <r>
    <x v="14"/>
    <x v="10"/>
    <x v="40"/>
    <x v="34"/>
    <n v="23"/>
    <x v="5"/>
    <x v="0"/>
    <n v="0"/>
    <x v="1"/>
  </r>
  <r>
    <x v="16"/>
    <x v="10"/>
    <x v="41"/>
    <x v="40"/>
    <n v="18"/>
    <x v="8"/>
    <x v="0"/>
    <n v="0"/>
    <x v="1"/>
  </r>
  <r>
    <x v="14"/>
    <x v="10"/>
    <x v="42"/>
    <x v="41"/>
    <n v="2"/>
    <x v="28"/>
    <x v="0"/>
    <n v="9"/>
    <x v="16"/>
  </r>
  <r>
    <x v="15"/>
    <x v="7"/>
    <x v="43"/>
    <x v="42"/>
    <n v="17"/>
    <x v="10"/>
    <x v="0"/>
    <n v="0"/>
    <x v="1"/>
  </r>
  <r>
    <x v="7"/>
    <x v="9"/>
    <x v="44"/>
    <x v="43"/>
    <n v="7"/>
    <x v="1"/>
    <x v="0"/>
    <n v="0"/>
    <x v="1"/>
  </r>
  <r>
    <x v="6"/>
    <x v="0"/>
    <x v="45"/>
    <x v="44"/>
    <n v="13"/>
    <x v="4"/>
    <x v="0"/>
    <n v="0"/>
    <x v="1"/>
  </r>
  <r>
    <x v="10"/>
    <x v="2"/>
    <x v="46"/>
    <x v="45"/>
    <n v="2"/>
    <x v="2"/>
    <x v="0"/>
    <n v="8"/>
    <x v="17"/>
  </r>
  <r>
    <x v="7"/>
    <x v="3"/>
    <x v="47"/>
    <x v="46"/>
    <n v="20"/>
    <x v="29"/>
    <x v="0"/>
    <n v="0"/>
    <x v="1"/>
  </r>
  <r>
    <x v="4"/>
    <x v="3"/>
    <x v="48"/>
    <x v="47"/>
    <n v="92"/>
    <x v="30"/>
    <x v="0"/>
    <n v="0"/>
    <x v="1"/>
  </r>
  <r>
    <x v="2"/>
    <x v="3"/>
    <x v="49"/>
    <x v="48"/>
    <n v="3"/>
    <x v="7"/>
    <x v="0"/>
    <n v="3"/>
    <x v="18"/>
  </r>
  <r>
    <x v="17"/>
    <x v="5"/>
    <x v="50"/>
    <x v="49"/>
    <n v="62"/>
    <x v="31"/>
    <x v="0"/>
    <n v="0"/>
    <x v="1"/>
  </r>
  <r>
    <x v="4"/>
    <x v="5"/>
    <x v="51"/>
    <x v="50"/>
    <n v="1"/>
    <x v="31"/>
    <x v="0"/>
    <n v="61"/>
    <x v="19"/>
  </r>
  <r>
    <x v="8"/>
    <x v="5"/>
    <x v="52"/>
    <x v="51"/>
    <n v="102"/>
    <x v="32"/>
    <x v="0"/>
    <n v="0"/>
    <x v="1"/>
  </r>
  <r>
    <x v="2"/>
    <x v="5"/>
    <x v="53"/>
    <x v="52"/>
    <n v="9"/>
    <x v="33"/>
    <x v="0"/>
    <n v="0"/>
    <x v="1"/>
  </r>
  <r>
    <x v="18"/>
    <x v="5"/>
    <x v="54"/>
    <x v="53"/>
    <n v="3"/>
    <x v="22"/>
    <x v="0"/>
    <n v="0"/>
    <x v="1"/>
  </r>
  <r>
    <x v="15"/>
    <x v="6"/>
    <x v="55"/>
    <x v="54"/>
    <n v="3"/>
    <x v="4"/>
    <x v="0"/>
    <n v="10"/>
    <x v="20"/>
  </r>
  <r>
    <x v="19"/>
    <x v="10"/>
    <x v="23"/>
    <x v="55"/>
    <n v="72"/>
    <x v="34"/>
    <x v="0"/>
    <n v="0"/>
    <x v="1"/>
  </r>
  <r>
    <x v="9"/>
    <x v="11"/>
    <x v="56"/>
    <x v="56"/>
    <n v="1"/>
    <x v="0"/>
    <x v="0"/>
    <n v="15"/>
    <x v="21"/>
  </r>
  <r>
    <x v="4"/>
    <x v="7"/>
    <x v="57"/>
    <x v="57"/>
    <n v="7"/>
    <x v="1"/>
    <x v="0"/>
    <n v="0"/>
    <x v="1"/>
  </r>
  <r>
    <x v="15"/>
    <x v="8"/>
    <x v="58"/>
    <x v="58"/>
    <n v="46"/>
    <x v="35"/>
    <x v="0"/>
    <n v="0"/>
    <x v="1"/>
  </r>
  <r>
    <x v="11"/>
    <x v="9"/>
    <x v="59"/>
    <x v="59"/>
    <n v="18"/>
    <x v="8"/>
    <x v="0"/>
    <n v="0"/>
    <x v="1"/>
  </r>
  <r>
    <x v="3"/>
    <x v="0"/>
    <x v="60"/>
    <x v="60"/>
    <n v="9"/>
    <x v="33"/>
    <x v="0"/>
    <n v="0"/>
    <x v="1"/>
  </r>
  <r>
    <x v="6"/>
    <x v="0"/>
    <x v="61"/>
    <x v="61"/>
    <n v="16"/>
    <x v="36"/>
    <x v="0"/>
    <n v="5"/>
    <x v="22"/>
  </r>
  <r>
    <x v="8"/>
    <x v="2"/>
    <x v="62"/>
    <x v="62"/>
    <n v="187"/>
    <x v="37"/>
    <x v="0"/>
    <n v="0"/>
    <x v="1"/>
  </r>
  <r>
    <x v="3"/>
    <x v="2"/>
    <x v="63"/>
    <x v="63"/>
    <n v="16"/>
    <x v="0"/>
    <x v="0"/>
    <n v="0"/>
    <x v="1"/>
  </r>
  <r>
    <x v="18"/>
    <x v="3"/>
    <x v="64"/>
    <x v="64"/>
    <n v="0"/>
    <x v="3"/>
    <x v="0"/>
    <n v="8"/>
    <x v="4"/>
  </r>
  <r>
    <x v="12"/>
    <x v="3"/>
    <x v="65"/>
    <x v="65"/>
    <n v="11"/>
    <x v="28"/>
    <x v="0"/>
    <n v="0"/>
    <x v="1"/>
  </r>
  <r>
    <x v="9"/>
    <x v="3"/>
    <x v="66"/>
    <x v="66"/>
    <n v="13"/>
    <x v="38"/>
    <x v="0"/>
    <n v="6"/>
    <x v="23"/>
  </r>
  <r>
    <x v="8"/>
    <x v="12"/>
    <x v="67"/>
    <x v="67"/>
    <n v="1"/>
    <x v="33"/>
    <x v="0"/>
    <n v="8"/>
    <x v="24"/>
  </r>
  <r>
    <x v="20"/>
    <x v="4"/>
    <x v="68"/>
    <x v="68"/>
    <n v="5"/>
    <x v="21"/>
    <x v="0"/>
    <n v="0"/>
    <x v="1"/>
  </r>
  <r>
    <x v="9"/>
    <x v="4"/>
    <x v="69"/>
    <x v="69"/>
    <n v="55"/>
    <x v="39"/>
    <x v="0"/>
    <n v="3"/>
    <x v="25"/>
  </r>
  <r>
    <x v="4"/>
    <x v="5"/>
    <x v="70"/>
    <x v="70"/>
    <n v="10"/>
    <x v="2"/>
    <x v="0"/>
    <n v="0"/>
    <x v="1"/>
  </r>
  <r>
    <x v="16"/>
    <x v="6"/>
    <x v="71"/>
    <x v="71"/>
    <n v="4"/>
    <x v="40"/>
    <x v="0"/>
    <n v="0"/>
    <x v="1"/>
  </r>
  <r>
    <x v="15"/>
    <x v="6"/>
    <x v="72"/>
    <x v="72"/>
    <n v="14"/>
    <x v="18"/>
    <x v="0"/>
    <n v="0"/>
    <x v="1"/>
  </r>
  <r>
    <x v="9"/>
    <x v="10"/>
    <x v="73"/>
    <x v="73"/>
    <n v="25"/>
    <x v="41"/>
    <x v="0"/>
    <n v="0"/>
    <x v="1"/>
  </r>
  <r>
    <x v="4"/>
    <x v="10"/>
    <x v="74"/>
    <x v="74"/>
    <n v="4"/>
    <x v="40"/>
    <x v="0"/>
    <n v="0"/>
    <x v="1"/>
  </r>
  <r>
    <x v="10"/>
    <x v="7"/>
    <x v="12"/>
    <x v="75"/>
    <n v="152"/>
    <x v="42"/>
    <x v="0"/>
    <n v="0"/>
    <x v="1"/>
  </r>
  <r>
    <x v="0"/>
    <x v="7"/>
    <x v="75"/>
    <x v="36"/>
    <n v="45"/>
    <x v="43"/>
    <x v="0"/>
    <n v="0"/>
    <x v="1"/>
  </r>
  <r>
    <x v="15"/>
    <x v="9"/>
    <x v="76"/>
    <x v="76"/>
    <n v="117"/>
    <x v="44"/>
    <x v="0"/>
    <n v="0"/>
    <x v="1"/>
  </r>
  <r>
    <x v="4"/>
    <x v="0"/>
    <x v="77"/>
    <x v="57"/>
    <n v="3"/>
    <x v="2"/>
    <x v="0"/>
    <n v="7"/>
    <x v="26"/>
  </r>
  <r>
    <x v="15"/>
    <x v="2"/>
    <x v="78"/>
    <x v="77"/>
    <n v="4"/>
    <x v="40"/>
    <x v="0"/>
    <n v="0"/>
    <x v="1"/>
  </r>
  <r>
    <x v="6"/>
    <x v="4"/>
    <x v="79"/>
    <x v="78"/>
    <n v="13"/>
    <x v="4"/>
    <x v="0"/>
    <n v="0"/>
    <x v="1"/>
  </r>
  <r>
    <x v="20"/>
    <x v="4"/>
    <x v="80"/>
    <x v="78"/>
    <n v="13"/>
    <x v="4"/>
    <x v="0"/>
    <n v="0"/>
    <x v="1"/>
  </r>
  <r>
    <x v="18"/>
    <x v="5"/>
    <x v="81"/>
    <x v="10"/>
    <n v="18"/>
    <x v="8"/>
    <x v="0"/>
    <n v="0"/>
    <x v="1"/>
  </r>
  <r>
    <x v="6"/>
    <x v="5"/>
    <x v="8"/>
    <x v="8"/>
    <n v="3"/>
    <x v="22"/>
    <x v="0"/>
    <n v="0"/>
    <x v="1"/>
  </r>
  <r>
    <x v="5"/>
    <x v="5"/>
    <x v="82"/>
    <x v="10"/>
    <n v="7"/>
    <x v="1"/>
    <x v="0"/>
    <n v="0"/>
    <x v="1"/>
  </r>
  <r>
    <x v="12"/>
    <x v="5"/>
    <x v="83"/>
    <x v="10"/>
    <n v="122"/>
    <x v="45"/>
    <x v="0"/>
    <n v="0"/>
    <x v="1"/>
  </r>
  <r>
    <x v="2"/>
    <x v="5"/>
    <x v="84"/>
    <x v="79"/>
    <n v="1"/>
    <x v="38"/>
    <x v="0"/>
    <n v="18"/>
    <x v="27"/>
  </r>
  <r>
    <x v="21"/>
    <x v="6"/>
    <x v="85"/>
    <x v="80"/>
    <n v="10"/>
    <x v="2"/>
    <x v="0"/>
    <n v="0"/>
    <x v="1"/>
  </r>
  <r>
    <x v="0"/>
    <x v="13"/>
    <x v="86"/>
    <x v="55"/>
    <n v="9"/>
    <x v="33"/>
    <x v="0"/>
    <n v="0"/>
    <x v="1"/>
  </r>
  <r>
    <x v="5"/>
    <x v="11"/>
    <x v="87"/>
    <x v="81"/>
    <n v="153"/>
    <x v="46"/>
    <x v="0"/>
    <n v="0"/>
    <x v="1"/>
  </r>
  <r>
    <x v="18"/>
    <x v="9"/>
    <x v="88"/>
    <x v="76"/>
    <n v="32"/>
    <x v="47"/>
    <x v="0"/>
    <n v="182"/>
    <x v="28"/>
  </r>
  <r>
    <x v="18"/>
    <x v="9"/>
    <x v="89"/>
    <x v="82"/>
    <n v="7"/>
    <x v="3"/>
    <x v="0"/>
    <n v="1"/>
    <x v="29"/>
  </r>
  <r>
    <x v="7"/>
    <x v="9"/>
    <x v="90"/>
    <x v="83"/>
    <n v="7"/>
    <x v="48"/>
    <x v="0"/>
    <n v="35"/>
    <x v="10"/>
  </r>
  <r>
    <x v="18"/>
    <x v="9"/>
    <x v="44"/>
    <x v="84"/>
    <n v="4"/>
    <x v="40"/>
    <x v="0"/>
    <n v="0"/>
    <x v="1"/>
  </r>
  <r>
    <x v="5"/>
    <x v="0"/>
    <x v="91"/>
    <x v="85"/>
    <n v="12"/>
    <x v="49"/>
    <x v="0"/>
    <n v="0"/>
    <x v="1"/>
  </r>
  <r>
    <x v="12"/>
    <x v="1"/>
    <x v="92"/>
    <x v="86"/>
    <n v="10"/>
    <x v="2"/>
    <x v="0"/>
    <n v="0"/>
    <x v="1"/>
  </r>
  <r>
    <x v="14"/>
    <x v="14"/>
    <x v="93"/>
    <x v="87"/>
    <n v="3"/>
    <x v="40"/>
    <x v="0"/>
    <n v="1"/>
    <x v="30"/>
  </r>
  <r>
    <x v="0"/>
    <x v="2"/>
    <x v="94"/>
    <x v="88"/>
    <n v="19"/>
    <x v="38"/>
    <x v="0"/>
    <n v="0"/>
    <x v="1"/>
  </r>
  <r>
    <x v="8"/>
    <x v="2"/>
    <x v="95"/>
    <x v="89"/>
    <n v="4"/>
    <x v="40"/>
    <x v="0"/>
    <n v="0"/>
    <x v="1"/>
  </r>
  <r>
    <x v="20"/>
    <x v="3"/>
    <x v="96"/>
    <x v="90"/>
    <n v="14"/>
    <x v="18"/>
    <x v="0"/>
    <n v="0"/>
    <x v="1"/>
  </r>
  <r>
    <x v="20"/>
    <x v="12"/>
    <x v="97"/>
    <x v="91"/>
    <n v="157"/>
    <x v="50"/>
    <x v="0"/>
    <n v="0"/>
    <x v="1"/>
  </r>
  <r>
    <x v="8"/>
    <x v="5"/>
    <x v="98"/>
    <x v="50"/>
    <n v="22"/>
    <x v="51"/>
    <x v="0"/>
    <n v="118"/>
    <x v="31"/>
  </r>
  <r>
    <x v="15"/>
    <x v="5"/>
    <x v="99"/>
    <x v="92"/>
    <n v="4"/>
    <x v="0"/>
    <x v="0"/>
    <n v="12"/>
    <x v="32"/>
  </r>
  <r>
    <x v="2"/>
    <x v="5"/>
    <x v="100"/>
    <x v="21"/>
    <n v="3"/>
    <x v="22"/>
    <x v="0"/>
    <n v="0"/>
    <x v="1"/>
  </r>
  <r>
    <x v="21"/>
    <x v="10"/>
    <x v="101"/>
    <x v="93"/>
    <n v="51"/>
    <x v="52"/>
    <x v="0"/>
    <n v="20"/>
    <x v="33"/>
  </r>
  <r>
    <x v="18"/>
    <x v="10"/>
    <x v="102"/>
    <x v="94"/>
    <n v="10"/>
    <x v="2"/>
    <x v="0"/>
    <n v="0"/>
    <x v="1"/>
  </r>
  <r>
    <x v="17"/>
    <x v="9"/>
    <x v="103"/>
    <x v="95"/>
    <n v="10"/>
    <x v="2"/>
    <x v="0"/>
    <n v="0"/>
    <x v="1"/>
  </r>
  <r>
    <x v="10"/>
    <x v="0"/>
    <x v="104"/>
    <x v="96"/>
    <n v="44"/>
    <x v="53"/>
    <x v="0"/>
    <n v="0"/>
    <x v="1"/>
  </r>
  <r>
    <x v="7"/>
    <x v="1"/>
    <x v="105"/>
    <x v="97"/>
    <n v="10"/>
    <x v="2"/>
    <x v="0"/>
    <n v="0"/>
    <x v="1"/>
  </r>
  <r>
    <x v="2"/>
    <x v="1"/>
    <x v="106"/>
    <x v="98"/>
    <n v="5"/>
    <x v="21"/>
    <x v="0"/>
    <n v="0"/>
    <x v="1"/>
  </r>
  <r>
    <x v="3"/>
    <x v="1"/>
    <x v="107"/>
    <x v="99"/>
    <n v="22"/>
    <x v="23"/>
    <x v="0"/>
    <n v="0"/>
    <x v="1"/>
  </r>
  <r>
    <x v="13"/>
    <x v="2"/>
    <x v="108"/>
    <x v="100"/>
    <n v="33"/>
    <x v="54"/>
    <x v="0"/>
    <n v="0"/>
    <x v="1"/>
  </r>
  <r>
    <x v="16"/>
    <x v="3"/>
    <x v="109"/>
    <x v="101"/>
    <n v="6"/>
    <x v="7"/>
    <x v="0"/>
    <n v="0"/>
    <x v="1"/>
  </r>
  <r>
    <x v="13"/>
    <x v="3"/>
    <x v="110"/>
    <x v="102"/>
    <n v="3"/>
    <x v="1"/>
    <x v="0"/>
    <n v="4"/>
    <x v="34"/>
  </r>
  <r>
    <x v="10"/>
    <x v="4"/>
    <x v="111"/>
    <x v="103"/>
    <n v="159"/>
    <x v="55"/>
    <x v="0"/>
    <n v="7"/>
    <x v="35"/>
  </r>
  <r>
    <x v="4"/>
    <x v="5"/>
    <x v="112"/>
    <x v="104"/>
    <n v="6"/>
    <x v="7"/>
    <x v="0"/>
    <n v="0"/>
    <x v="1"/>
  </r>
  <r>
    <x v="6"/>
    <x v="5"/>
    <x v="113"/>
    <x v="10"/>
    <n v="112"/>
    <x v="56"/>
    <x v="0"/>
    <n v="0"/>
    <x v="1"/>
  </r>
  <r>
    <x v="5"/>
    <x v="5"/>
    <x v="114"/>
    <x v="105"/>
    <n v="45"/>
    <x v="43"/>
    <x v="0"/>
    <n v="0"/>
    <x v="1"/>
  </r>
  <r>
    <x v="3"/>
    <x v="5"/>
    <x v="115"/>
    <x v="21"/>
    <n v="27"/>
    <x v="57"/>
    <x v="0"/>
    <n v="0"/>
    <x v="1"/>
  </r>
  <r>
    <x v="13"/>
    <x v="6"/>
    <x v="116"/>
    <x v="106"/>
    <n v="2"/>
    <x v="14"/>
    <x v="0"/>
    <n v="0"/>
    <x v="1"/>
  </r>
  <r>
    <x v="13"/>
    <x v="10"/>
    <x v="117"/>
    <x v="55"/>
    <n v="3"/>
    <x v="22"/>
    <x v="0"/>
    <n v="0"/>
    <x v="1"/>
  </r>
  <r>
    <x v="5"/>
    <x v="10"/>
    <x v="118"/>
    <x v="24"/>
    <n v="15"/>
    <x v="36"/>
    <x v="0"/>
    <n v="6"/>
    <x v="36"/>
  </r>
  <r>
    <x v="22"/>
    <x v="10"/>
    <x v="119"/>
    <x v="107"/>
    <n v="2"/>
    <x v="22"/>
    <x v="0"/>
    <n v="1"/>
    <x v="37"/>
  </r>
  <r>
    <x v="4"/>
    <x v="11"/>
    <x v="120"/>
    <x v="108"/>
    <n v="74"/>
    <x v="58"/>
    <x v="0"/>
    <n v="3"/>
    <x v="38"/>
  </r>
  <r>
    <x v="17"/>
    <x v="11"/>
    <x v="121"/>
    <x v="109"/>
    <n v="11"/>
    <x v="28"/>
    <x v="0"/>
    <n v="0"/>
    <x v="1"/>
  </r>
  <r>
    <x v="4"/>
    <x v="11"/>
    <x v="122"/>
    <x v="110"/>
    <n v="5"/>
    <x v="21"/>
    <x v="0"/>
    <n v="0"/>
    <x v="1"/>
  </r>
  <r>
    <x v="11"/>
    <x v="7"/>
    <x v="123"/>
    <x v="111"/>
    <n v="97"/>
    <x v="59"/>
    <x v="0"/>
    <n v="2"/>
    <x v="39"/>
  </r>
  <r>
    <x v="8"/>
    <x v="8"/>
    <x v="124"/>
    <x v="112"/>
    <n v="13"/>
    <x v="29"/>
    <x v="0"/>
    <n v="7"/>
    <x v="40"/>
  </r>
  <r>
    <x v="13"/>
    <x v="9"/>
    <x v="125"/>
    <x v="113"/>
    <n v="7"/>
    <x v="1"/>
    <x v="0"/>
    <n v="0"/>
    <x v="1"/>
  </r>
  <r>
    <x v="13"/>
    <x v="9"/>
    <x v="126"/>
    <x v="114"/>
    <n v="6"/>
    <x v="2"/>
    <x v="0"/>
    <n v="4"/>
    <x v="41"/>
  </r>
  <r>
    <x v="13"/>
    <x v="0"/>
    <x v="127"/>
    <x v="115"/>
    <n v="6"/>
    <x v="7"/>
    <x v="0"/>
    <n v="0"/>
    <x v="1"/>
  </r>
  <r>
    <x v="14"/>
    <x v="3"/>
    <x v="128"/>
    <x v="116"/>
    <n v="71"/>
    <x v="58"/>
    <x v="0"/>
    <n v="6"/>
    <x v="42"/>
  </r>
  <r>
    <x v="0"/>
    <x v="3"/>
    <x v="129"/>
    <x v="30"/>
    <n v="5"/>
    <x v="21"/>
    <x v="0"/>
    <n v="0"/>
    <x v="1"/>
  </r>
  <r>
    <x v="23"/>
    <x v="3"/>
    <x v="130"/>
    <x v="117"/>
    <n v="8"/>
    <x v="3"/>
    <x v="0"/>
    <n v="0"/>
    <x v="1"/>
  </r>
  <r>
    <x v="4"/>
    <x v="5"/>
    <x v="131"/>
    <x v="118"/>
    <n v="7"/>
    <x v="2"/>
    <x v="0"/>
    <n v="3"/>
    <x v="43"/>
  </r>
  <r>
    <x v="0"/>
    <x v="5"/>
    <x v="132"/>
    <x v="104"/>
    <n v="12"/>
    <x v="49"/>
    <x v="0"/>
    <n v="0"/>
    <x v="1"/>
  </r>
  <r>
    <x v="13"/>
    <x v="5"/>
    <x v="133"/>
    <x v="7"/>
    <n v="25"/>
    <x v="60"/>
    <x v="0"/>
    <n v="138"/>
    <x v="44"/>
  </r>
  <r>
    <x v="4"/>
    <x v="6"/>
    <x v="134"/>
    <x v="119"/>
    <n v="1"/>
    <x v="29"/>
    <x v="0"/>
    <n v="19"/>
    <x v="45"/>
  </r>
  <r>
    <x v="2"/>
    <x v="11"/>
    <x v="135"/>
    <x v="120"/>
    <n v="1"/>
    <x v="4"/>
    <x v="0"/>
    <n v="12"/>
    <x v="46"/>
  </r>
  <r>
    <x v="10"/>
    <x v="7"/>
    <x v="136"/>
    <x v="121"/>
    <n v="21"/>
    <x v="36"/>
    <x v="0"/>
    <n v="0"/>
    <x v="1"/>
  </r>
  <r>
    <x v="10"/>
    <x v="7"/>
    <x v="123"/>
    <x v="122"/>
    <n v="8"/>
    <x v="3"/>
    <x v="0"/>
    <n v="0"/>
    <x v="1"/>
  </r>
  <r>
    <x v="23"/>
    <x v="8"/>
    <x v="137"/>
    <x v="123"/>
    <n v="0"/>
    <x v="6"/>
    <x v="0"/>
    <n v="108"/>
    <x v="4"/>
  </r>
  <r>
    <x v="8"/>
    <x v="9"/>
    <x v="88"/>
    <x v="82"/>
    <n v="0"/>
    <x v="40"/>
    <x v="0"/>
    <n v="4"/>
    <x v="4"/>
  </r>
  <r>
    <x v="12"/>
    <x v="0"/>
    <x v="138"/>
    <x v="15"/>
    <n v="11"/>
    <x v="28"/>
    <x v="0"/>
    <n v="0"/>
    <x v="1"/>
  </r>
  <r>
    <x v="10"/>
    <x v="0"/>
    <x v="37"/>
    <x v="1"/>
    <n v="8"/>
    <x v="3"/>
    <x v="0"/>
    <n v="0"/>
    <x v="1"/>
  </r>
  <r>
    <x v="15"/>
    <x v="1"/>
    <x v="139"/>
    <x v="124"/>
    <n v="5"/>
    <x v="21"/>
    <x v="0"/>
    <n v="0"/>
    <x v="1"/>
  </r>
  <r>
    <x v="13"/>
    <x v="3"/>
    <x v="32"/>
    <x v="125"/>
    <n v="3"/>
    <x v="22"/>
    <x v="0"/>
    <n v="0"/>
    <x v="1"/>
  </r>
  <r>
    <x v="8"/>
    <x v="3"/>
    <x v="140"/>
    <x v="126"/>
    <n v="17"/>
    <x v="10"/>
    <x v="0"/>
    <n v="0"/>
    <x v="1"/>
  </r>
  <r>
    <x v="4"/>
    <x v="4"/>
    <x v="141"/>
    <x v="127"/>
    <n v="12"/>
    <x v="49"/>
    <x v="0"/>
    <n v="0"/>
    <x v="1"/>
  </r>
  <r>
    <x v="21"/>
    <x v="5"/>
    <x v="142"/>
    <x v="7"/>
    <n v="189"/>
    <x v="61"/>
    <x v="0"/>
    <n v="0"/>
    <x v="1"/>
  </r>
  <r>
    <x v="12"/>
    <x v="5"/>
    <x v="143"/>
    <x v="104"/>
    <n v="4"/>
    <x v="40"/>
    <x v="0"/>
    <n v="0"/>
    <x v="1"/>
  </r>
  <r>
    <x v="12"/>
    <x v="5"/>
    <x v="144"/>
    <x v="128"/>
    <n v="10"/>
    <x v="2"/>
    <x v="0"/>
    <n v="0"/>
    <x v="1"/>
  </r>
  <r>
    <x v="18"/>
    <x v="10"/>
    <x v="145"/>
    <x v="55"/>
    <n v="18"/>
    <x v="38"/>
    <x v="0"/>
    <n v="1"/>
    <x v="47"/>
  </r>
  <r>
    <x v="0"/>
    <x v="11"/>
    <x v="146"/>
    <x v="129"/>
    <n v="96"/>
    <x v="62"/>
    <x v="0"/>
    <n v="9"/>
    <x v="48"/>
  </r>
  <r>
    <x v="7"/>
    <x v="11"/>
    <x v="147"/>
    <x v="130"/>
    <n v="117"/>
    <x v="44"/>
    <x v="0"/>
    <n v="0"/>
    <x v="1"/>
  </r>
  <r>
    <x v="1"/>
    <x v="11"/>
    <x v="87"/>
    <x v="131"/>
    <n v="16"/>
    <x v="29"/>
    <x v="0"/>
    <n v="4"/>
    <x v="49"/>
  </r>
  <r>
    <x v="5"/>
    <x v="9"/>
    <x v="148"/>
    <x v="132"/>
    <n v="15"/>
    <x v="23"/>
    <x v="0"/>
    <n v="7"/>
    <x v="50"/>
  </r>
  <r>
    <x v="13"/>
    <x v="9"/>
    <x v="149"/>
    <x v="133"/>
    <n v="4"/>
    <x v="40"/>
    <x v="0"/>
    <n v="0"/>
    <x v="1"/>
  </r>
  <r>
    <x v="0"/>
    <x v="0"/>
    <x v="150"/>
    <x v="134"/>
    <n v="14"/>
    <x v="18"/>
    <x v="0"/>
    <n v="0"/>
    <x v="1"/>
  </r>
  <r>
    <x v="0"/>
    <x v="2"/>
    <x v="151"/>
    <x v="135"/>
    <n v="154"/>
    <x v="63"/>
    <x v="0"/>
    <n v="7"/>
    <x v="51"/>
  </r>
  <r>
    <x v="19"/>
    <x v="2"/>
    <x v="152"/>
    <x v="136"/>
    <n v="14"/>
    <x v="18"/>
    <x v="0"/>
    <n v="0"/>
    <x v="1"/>
  </r>
  <r>
    <x v="2"/>
    <x v="2"/>
    <x v="78"/>
    <x v="62"/>
    <n v="1"/>
    <x v="64"/>
    <x v="0"/>
    <n v="81"/>
    <x v="52"/>
  </r>
  <r>
    <x v="9"/>
    <x v="3"/>
    <x v="153"/>
    <x v="137"/>
    <n v="7"/>
    <x v="1"/>
    <x v="0"/>
    <n v="0"/>
    <x v="1"/>
  </r>
  <r>
    <x v="7"/>
    <x v="5"/>
    <x v="83"/>
    <x v="138"/>
    <n v="99"/>
    <x v="44"/>
    <x v="0"/>
    <n v="18"/>
    <x v="53"/>
  </r>
  <r>
    <x v="3"/>
    <x v="5"/>
    <x v="154"/>
    <x v="139"/>
    <n v="18"/>
    <x v="8"/>
    <x v="0"/>
    <n v="0"/>
    <x v="1"/>
  </r>
  <r>
    <x v="3"/>
    <x v="10"/>
    <x v="155"/>
    <x v="140"/>
    <n v="19"/>
    <x v="38"/>
    <x v="0"/>
    <n v="0"/>
    <x v="1"/>
  </r>
  <r>
    <x v="5"/>
    <x v="10"/>
    <x v="101"/>
    <x v="141"/>
    <n v="19"/>
    <x v="38"/>
    <x v="0"/>
    <n v="0"/>
    <x v="1"/>
  </r>
  <r>
    <x v="0"/>
    <x v="11"/>
    <x v="156"/>
    <x v="109"/>
    <n v="13"/>
    <x v="8"/>
    <x v="0"/>
    <n v="5"/>
    <x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798C7-D388-47EA-9184-7BC35029425A}" name="PivotTable2"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O2:Q19"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15">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REGION COLUMN].&amp;[Asia]"/>
      </members>
    </pivotHierarchy>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2F539-7006-46F9-9485-3BEBE173A14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4:B29" firstHeaderRow="1" firstDataRow="1" firstDataCol="1"/>
  <pivotFields count="9">
    <pivotField axis="axisRow" showAll="0">
      <items count="25">
        <item x="9"/>
        <item x="2"/>
        <item x="4"/>
        <item x="15"/>
        <item x="13"/>
        <item x="7"/>
        <item x="0"/>
        <item x="8"/>
        <item x="18"/>
        <item x="6"/>
        <item x="10"/>
        <item x="3"/>
        <item x="5"/>
        <item x="1"/>
        <item x="16"/>
        <item x="12"/>
        <item x="14"/>
        <item x="22"/>
        <item x="21"/>
        <item x="20"/>
        <item x="11"/>
        <item x="17"/>
        <item x="23"/>
        <item x="19"/>
        <item t="default"/>
      </items>
    </pivotField>
    <pivotField showAll="0">
      <items count="16">
        <item x="0"/>
        <item x="1"/>
        <item x="14"/>
        <item x="2"/>
        <item x="3"/>
        <item x="12"/>
        <item x="4"/>
        <item x="5"/>
        <item x="6"/>
        <item x="13"/>
        <item x="10"/>
        <item x="11"/>
        <item x="7"/>
        <item x="8"/>
        <item x="9"/>
        <item t="default"/>
      </items>
    </pivotField>
    <pivotField showAll="0"/>
    <pivotField showAll="0"/>
    <pivotField showAll="0"/>
    <pivotField showAll="0"/>
    <pivotField dataField="1" showAll="0">
      <items count="2">
        <item x="0"/>
        <item t="default"/>
      </items>
    </pivotField>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rash_Count" fld="6"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3499FD-10E8-48AC-9009-97D9D6977DF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4" firstHeaderRow="1" firstDataRow="1" firstDataCol="1"/>
  <pivotFields count="9">
    <pivotField showAll="0">
      <items count="25">
        <item h="1" x="9"/>
        <item h="1" x="2"/>
        <item x="4"/>
        <item h="1" x="15"/>
        <item h="1" x="13"/>
        <item h="1" x="7"/>
        <item h="1" x="0"/>
        <item h="1" x="8"/>
        <item h="1" x="18"/>
        <item h="1" x="6"/>
        <item h="1" x="10"/>
        <item h="1" x="3"/>
        <item h="1" x="5"/>
        <item h="1" x="1"/>
        <item h="1" x="16"/>
        <item h="1" x="12"/>
        <item h="1" x="14"/>
        <item h="1" x="22"/>
        <item h="1" x="21"/>
        <item h="1" x="20"/>
        <item h="1" x="11"/>
        <item h="1" x="17"/>
        <item h="1" x="23"/>
        <item h="1" x="19"/>
        <item t="default"/>
      </items>
    </pivotField>
    <pivotField axis="axisRow" showAll="0" measureFilter="1" sortType="descending">
      <items count="16">
        <item x="0"/>
        <item x="1"/>
        <item x="14"/>
        <item x="2"/>
        <item x="3"/>
        <item x="12"/>
        <item x="4"/>
        <item x="5"/>
        <item x="6"/>
        <item x="13"/>
        <item x="10"/>
        <item x="11"/>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1"/>
  </rowFields>
  <rowItems count="11">
    <i>
      <x v="7"/>
    </i>
    <i>
      <x v="4"/>
    </i>
    <i>
      <x v="3"/>
    </i>
    <i>
      <x v="10"/>
    </i>
    <i>
      <x v="14"/>
    </i>
    <i>
      <x/>
    </i>
    <i>
      <x v="11"/>
    </i>
    <i>
      <x v="12"/>
    </i>
    <i>
      <x v="6"/>
    </i>
    <i>
      <x v="8"/>
    </i>
    <i t="grand">
      <x/>
    </i>
  </rowItems>
  <colItems count="1">
    <i/>
  </colItems>
  <dataFields count="1">
    <dataField name="Sum of Crash_Count" fld="6"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6649A8-2D7A-44EE-89A6-06BD1ABA6E6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28" firstHeaderRow="1" firstDataRow="1" firstDataCol="1"/>
  <pivotFields count="9">
    <pivotField axis="axisRow" showAll="0">
      <items count="25">
        <item x="9"/>
        <item x="2"/>
        <item x="4"/>
        <item x="15"/>
        <item x="13"/>
        <item x="7"/>
        <item x="0"/>
        <item x="8"/>
        <item x="18"/>
        <item x="6"/>
        <item x="10"/>
        <item x="3"/>
        <item x="5"/>
        <item x="1"/>
        <item x="16"/>
        <item x="12"/>
        <item x="14"/>
        <item x="22"/>
        <item x="21"/>
        <item x="20"/>
        <item x="11"/>
        <item x="17"/>
        <item x="23"/>
        <item x="19"/>
        <item t="default"/>
      </items>
    </pivotField>
    <pivotField showAll="0">
      <items count="16">
        <item x="0"/>
        <item x="1"/>
        <item x="14"/>
        <item x="2"/>
        <item x="3"/>
        <item x="12"/>
        <item x="4"/>
        <item x="5"/>
        <item x="6"/>
        <item x="13"/>
        <item x="10"/>
        <item x="11"/>
        <item x="7"/>
        <item x="8"/>
        <item x="9"/>
        <item t="default"/>
      </items>
    </pivotField>
    <pivotField showAll="0"/>
    <pivotField showAll="0"/>
    <pivotField dataField="1" showAll="0"/>
    <pivotField showAll="0"/>
    <pivotField showAll="0"/>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Fatalities (air)"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7341BC-8249-47E9-85DF-04694C278FD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1">
  <location ref="A4:B24" firstHeaderRow="1" firstDataRow="1" firstDataCol="1"/>
  <pivotFields count="9">
    <pivotField showAll="0">
      <items count="25">
        <item x="9"/>
        <item x="2"/>
        <item x="4"/>
        <item x="15"/>
        <item x="13"/>
        <item x="7"/>
        <item x="0"/>
        <item x="8"/>
        <item x="18"/>
        <item x="6"/>
        <item x="10"/>
        <item x="3"/>
        <item x="5"/>
        <item x="1"/>
        <item x="16"/>
        <item x="12"/>
        <item x="14"/>
        <item x="22"/>
        <item x="21"/>
        <item x="20"/>
        <item x="11"/>
        <item x="17"/>
        <item x="23"/>
        <item x="19"/>
        <item t="default"/>
      </items>
    </pivotField>
    <pivotField showAll="0">
      <items count="16">
        <item x="0"/>
        <item x="1"/>
        <item x="14"/>
        <item x="2"/>
        <item x="3"/>
        <item x="12"/>
        <item x="4"/>
        <item x="5"/>
        <item x="6"/>
        <item x="13"/>
        <item x="10"/>
        <item x="11"/>
        <item x="7"/>
        <item x="8"/>
        <item x="9"/>
        <item t="default"/>
      </items>
    </pivotField>
    <pivotField showAll="0"/>
    <pivotField axis="axisRow" showAll="0" measureFilter="1">
      <items count="143">
        <item x="62"/>
        <item x="0"/>
        <item x="85"/>
        <item x="63"/>
        <item x="89"/>
        <item x="17"/>
        <item x="124"/>
        <item x="99"/>
        <item x="100"/>
        <item x="45"/>
        <item x="27"/>
        <item x="16"/>
        <item x="136"/>
        <item x="125"/>
        <item x="51"/>
        <item x="24"/>
        <item x="139"/>
        <item x="140"/>
        <item x="81"/>
        <item x="9"/>
        <item x="121"/>
        <item x="37"/>
        <item x="22"/>
        <item x="23"/>
        <item x="7"/>
        <item x="79"/>
        <item x="141"/>
        <item x="49"/>
        <item x="107"/>
        <item x="34"/>
        <item x="88"/>
        <item x="61"/>
        <item x="75"/>
        <item x="111"/>
        <item x="129"/>
        <item x="69"/>
        <item x="26"/>
        <item x="130"/>
        <item x="12"/>
        <item x="67"/>
        <item x="91"/>
        <item x="50"/>
        <item x="36"/>
        <item x="41"/>
        <item x="138"/>
        <item x="120"/>
        <item x="40"/>
        <item x="73"/>
        <item x="21"/>
        <item x="96"/>
        <item x="133"/>
        <item x="35"/>
        <item x="95"/>
        <item x="58"/>
        <item x="93"/>
        <item x="60"/>
        <item x="55"/>
        <item x="56"/>
        <item x="74"/>
        <item x="76"/>
        <item x="98"/>
        <item x="44"/>
        <item x="68"/>
        <item x="15"/>
        <item x="126"/>
        <item x="84"/>
        <item x="131"/>
        <item x="106"/>
        <item x="119"/>
        <item x="71"/>
        <item x="113"/>
        <item x="83"/>
        <item x="116"/>
        <item x="64"/>
        <item x="82"/>
        <item x="1"/>
        <item x="97"/>
        <item x="72"/>
        <item x="70"/>
        <item x="90"/>
        <item x="30"/>
        <item x="19"/>
        <item x="101"/>
        <item x="66"/>
        <item x="4"/>
        <item x="137"/>
        <item x="5"/>
        <item x="114"/>
        <item x="20"/>
        <item x="103"/>
        <item x="28"/>
        <item x="65"/>
        <item x="78"/>
        <item x="10"/>
        <item x="11"/>
        <item x="109"/>
        <item x="42"/>
        <item x="112"/>
        <item x="134"/>
        <item x="14"/>
        <item x="59"/>
        <item x="132"/>
        <item x="57"/>
        <item x="46"/>
        <item x="2"/>
        <item x="32"/>
        <item x="39"/>
        <item x="123"/>
        <item x="87"/>
        <item x="6"/>
        <item x="38"/>
        <item x="128"/>
        <item x="8"/>
        <item x="94"/>
        <item x="127"/>
        <item x="52"/>
        <item x="13"/>
        <item x="25"/>
        <item x="102"/>
        <item x="33"/>
        <item x="86"/>
        <item x="135"/>
        <item x="92"/>
        <item x="117"/>
        <item x="80"/>
        <item x="53"/>
        <item x="104"/>
        <item x="118"/>
        <item x="110"/>
        <item x="54"/>
        <item x="108"/>
        <item x="105"/>
        <item x="31"/>
        <item x="48"/>
        <item x="29"/>
        <item x="47"/>
        <item x="3"/>
        <item x="115"/>
        <item x="77"/>
        <item x="18"/>
        <item x="122"/>
        <item x="43"/>
        <item t="default"/>
      </items>
    </pivotField>
    <pivotField showAll="0"/>
    <pivotField showAll="0"/>
    <pivotField dataField="1" showAll="0"/>
    <pivotField showAll="0"/>
    <pivotField showAll="0"/>
  </pivotFields>
  <rowFields count="1">
    <field x="3"/>
  </rowFields>
  <rowItems count="20">
    <i>
      <x/>
    </i>
    <i>
      <x v="15"/>
    </i>
    <i>
      <x v="24"/>
    </i>
    <i>
      <x v="29"/>
    </i>
    <i>
      <x v="41"/>
    </i>
    <i>
      <x v="42"/>
    </i>
    <i>
      <x v="48"/>
    </i>
    <i>
      <x v="56"/>
    </i>
    <i>
      <x v="59"/>
    </i>
    <i>
      <x v="63"/>
    </i>
    <i>
      <x v="74"/>
    </i>
    <i>
      <x v="75"/>
    </i>
    <i>
      <x v="80"/>
    </i>
    <i>
      <x v="92"/>
    </i>
    <i>
      <x v="93"/>
    </i>
    <i>
      <x v="95"/>
    </i>
    <i>
      <x v="102"/>
    </i>
    <i>
      <x v="112"/>
    </i>
    <i>
      <x v="126"/>
    </i>
    <i t="grand">
      <x/>
    </i>
  </rowItems>
  <colItems count="1">
    <i/>
  </colItems>
  <dataFields count="1">
    <dataField name="Sum of Crash_Count" fld="6" baseField="0" baseItem="0"/>
  </dataFields>
  <chartFormats count="1">
    <chartFormat chart="3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A34B33-3F01-4A11-9D54-EC40A955740D}"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Fatalities (air)" fld="1" baseField="0" baseItem="0"/>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4"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5" format="9">
      <pivotArea type="data" outline="0" fieldPosition="0">
        <references count="2">
          <reference field="4294967294" count="1" selected="0">
            <x v="0"/>
          </reference>
          <reference field="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hird_World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502592-2243-4E2A-A9BE-09F940246CE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3:B14" firstHeaderRow="1" firstDataRow="1" firstDataCol="1"/>
  <pivotFields count="9">
    <pivotField showAll="0"/>
    <pivotField axis="axisRow" showAll="0" measureFilter="1">
      <items count="16">
        <item x="0"/>
        <item x="1"/>
        <item x="14"/>
        <item x="2"/>
        <item x="3"/>
        <item x="12"/>
        <item x="4"/>
        <item x="5"/>
        <item x="6"/>
        <item x="13"/>
        <item x="10"/>
        <item x="11"/>
        <item x="7"/>
        <item x="8"/>
        <item x="9"/>
        <item t="default"/>
      </items>
    </pivotField>
    <pivotField showAll="0"/>
    <pivotField showAll="0"/>
    <pivotField showAll="0"/>
    <pivotField dataField="1" showAll="0"/>
    <pivotField showAll="0"/>
    <pivotField showAll="0"/>
    <pivotField showAll="0"/>
  </pivotFields>
  <rowFields count="1">
    <field x="1"/>
  </rowFields>
  <rowItems count="11">
    <i>
      <x/>
    </i>
    <i>
      <x v="3"/>
    </i>
    <i>
      <x v="4"/>
    </i>
    <i>
      <x v="6"/>
    </i>
    <i>
      <x v="7"/>
    </i>
    <i>
      <x v="10"/>
    </i>
    <i>
      <x v="11"/>
    </i>
    <i>
      <x v="12"/>
    </i>
    <i>
      <x v="13"/>
    </i>
    <i>
      <x v="14"/>
    </i>
    <i t="grand">
      <x/>
    </i>
  </rowItems>
  <colItems count="1">
    <i/>
  </colItems>
  <dataFields count="1">
    <dataField name="Sum of Aboard" fld="5" baseField="0" baseItem="0"/>
  </dataFields>
  <chartFormats count="4">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176DA9-A26E-4F31-9D2F-9D517449F02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9" firstHeaderRow="1" firstDataRow="1" firstDataCol="1"/>
  <pivotFields count="9">
    <pivotField showAll="0"/>
    <pivotField axis="axisRow" showAll="0" sortType="descending">
      <items count="16">
        <item x="0"/>
        <item x="1"/>
        <item x="14"/>
        <item x="2"/>
        <item x="3"/>
        <item x="12"/>
        <item x="4"/>
        <item x="5"/>
        <item x="6"/>
        <item x="13"/>
        <item x="10"/>
        <item x="11"/>
        <item x="7"/>
        <item x="8"/>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1"/>
  </rowFields>
  <rowItems count="16">
    <i>
      <x v="7"/>
    </i>
    <i>
      <x v="11"/>
    </i>
    <i>
      <x v="12"/>
    </i>
    <i>
      <x v="3"/>
    </i>
    <i>
      <x v="10"/>
    </i>
    <i>
      <x v="4"/>
    </i>
    <i>
      <x v="6"/>
    </i>
    <i>
      <x/>
    </i>
    <i>
      <x v="14"/>
    </i>
    <i>
      <x v="5"/>
    </i>
    <i>
      <x v="13"/>
    </i>
    <i>
      <x v="1"/>
    </i>
    <i>
      <x v="8"/>
    </i>
    <i>
      <x v="9"/>
    </i>
    <i>
      <x v="2"/>
    </i>
    <i t="grand">
      <x/>
    </i>
  </rowItems>
  <colItems count="1">
    <i/>
  </colItems>
  <dataFields count="1">
    <dataField name="Sum of Fatalities (air)"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507F55-2DA8-40DD-97DD-F40F530E9CC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9">
    <pivotField showAll="0"/>
    <pivotField showAll="0"/>
    <pivotField showAll="0"/>
    <pivotField axis="axisRow" showAll="0" measureFilter="1">
      <items count="143">
        <item x="62"/>
        <item x="0"/>
        <item x="85"/>
        <item x="63"/>
        <item x="89"/>
        <item x="17"/>
        <item x="124"/>
        <item x="99"/>
        <item x="100"/>
        <item x="45"/>
        <item x="27"/>
        <item x="16"/>
        <item x="136"/>
        <item x="125"/>
        <item x="51"/>
        <item x="24"/>
        <item x="139"/>
        <item x="140"/>
        <item x="81"/>
        <item x="9"/>
        <item x="121"/>
        <item x="37"/>
        <item x="22"/>
        <item x="23"/>
        <item x="7"/>
        <item x="79"/>
        <item x="141"/>
        <item x="49"/>
        <item x="107"/>
        <item x="34"/>
        <item x="88"/>
        <item x="61"/>
        <item x="75"/>
        <item x="111"/>
        <item x="129"/>
        <item x="69"/>
        <item x="26"/>
        <item x="130"/>
        <item x="12"/>
        <item x="67"/>
        <item x="91"/>
        <item x="50"/>
        <item x="36"/>
        <item x="41"/>
        <item x="138"/>
        <item x="120"/>
        <item x="40"/>
        <item x="73"/>
        <item x="21"/>
        <item x="96"/>
        <item x="133"/>
        <item x="35"/>
        <item x="95"/>
        <item x="58"/>
        <item x="93"/>
        <item x="60"/>
        <item x="55"/>
        <item x="56"/>
        <item x="74"/>
        <item x="76"/>
        <item x="98"/>
        <item x="44"/>
        <item x="68"/>
        <item x="15"/>
        <item x="126"/>
        <item x="84"/>
        <item x="131"/>
        <item x="106"/>
        <item x="119"/>
        <item x="71"/>
        <item x="113"/>
        <item x="83"/>
        <item x="116"/>
        <item x="64"/>
        <item x="82"/>
        <item x="1"/>
        <item x="97"/>
        <item x="72"/>
        <item x="70"/>
        <item x="90"/>
        <item x="30"/>
        <item x="19"/>
        <item x="101"/>
        <item x="66"/>
        <item x="4"/>
        <item x="137"/>
        <item x="5"/>
        <item x="114"/>
        <item x="20"/>
        <item x="103"/>
        <item x="28"/>
        <item x="65"/>
        <item x="78"/>
        <item x="10"/>
        <item x="11"/>
        <item x="109"/>
        <item x="42"/>
        <item x="112"/>
        <item x="134"/>
        <item x="14"/>
        <item x="59"/>
        <item x="132"/>
        <item x="57"/>
        <item x="46"/>
        <item x="2"/>
        <item x="32"/>
        <item x="39"/>
        <item x="123"/>
        <item x="87"/>
        <item x="6"/>
        <item x="38"/>
        <item x="128"/>
        <item x="8"/>
        <item x="94"/>
        <item x="127"/>
        <item x="52"/>
        <item x="13"/>
        <item x="25"/>
        <item x="102"/>
        <item x="33"/>
        <item x="86"/>
        <item x="135"/>
        <item x="92"/>
        <item x="117"/>
        <item x="80"/>
        <item x="53"/>
        <item x="104"/>
        <item x="118"/>
        <item x="110"/>
        <item x="54"/>
        <item x="108"/>
        <item x="105"/>
        <item x="31"/>
        <item x="48"/>
        <item x="29"/>
        <item x="47"/>
        <item x="3"/>
        <item x="115"/>
        <item x="77"/>
        <item x="18"/>
        <item x="122"/>
        <item x="43"/>
        <item t="default"/>
      </items>
    </pivotField>
    <pivotField dataField="1" showAll="0"/>
    <pivotField showAll="0"/>
    <pivotField showAll="0"/>
    <pivotField showAll="0"/>
    <pivotField showAll="0"/>
  </pivotFields>
  <rowFields count="1">
    <field x="3"/>
  </rowFields>
  <rowItems count="11">
    <i>
      <x/>
    </i>
    <i>
      <x v="18"/>
    </i>
    <i>
      <x v="24"/>
    </i>
    <i>
      <x v="32"/>
    </i>
    <i>
      <x v="38"/>
    </i>
    <i>
      <x v="40"/>
    </i>
    <i>
      <x v="59"/>
    </i>
    <i>
      <x v="89"/>
    </i>
    <i>
      <x v="93"/>
    </i>
    <i>
      <x v="121"/>
    </i>
    <i t="grand">
      <x/>
    </i>
  </rowItems>
  <colItems count="1">
    <i/>
  </colItems>
  <dataFields count="1">
    <dataField name="Sum of Fatalities (air)" fld="4"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DCB527-CE8F-4A9A-B9A4-3E0627F7F74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4" firstHeaderRow="1" firstDataRow="1" firstDataCol="1"/>
  <pivotFields count="9">
    <pivotField showAll="0"/>
    <pivotField showAll="0"/>
    <pivotField axis="axisRow" showAll="0" measureFilter="1">
      <items count="158">
        <item x="42"/>
        <item x="56"/>
        <item x="14"/>
        <item x="45"/>
        <item x="21"/>
        <item x="1"/>
        <item x="10"/>
        <item x="152"/>
        <item x="24"/>
        <item x="78"/>
        <item x="97"/>
        <item x="139"/>
        <item x="55"/>
        <item x="20"/>
        <item x="110"/>
        <item x="93"/>
        <item x="18"/>
        <item x="28"/>
        <item x="125"/>
        <item x="40"/>
        <item x="7"/>
        <item x="105"/>
        <item x="49"/>
        <item x="9"/>
        <item x="95"/>
        <item x="59"/>
        <item x="12"/>
        <item x="100"/>
        <item x="82"/>
        <item x="138"/>
        <item x="84"/>
        <item x="126"/>
        <item x="73"/>
        <item x="118"/>
        <item x="86"/>
        <item x="91"/>
        <item x="149"/>
        <item x="61"/>
        <item x="120"/>
        <item x="123"/>
        <item x="101"/>
        <item x="90"/>
        <item x="88"/>
        <item x="87"/>
        <item x="0"/>
        <item x="137"/>
        <item x="147"/>
        <item x="145"/>
        <item x="38"/>
        <item x="3"/>
        <item x="111"/>
        <item x="47"/>
        <item x="11"/>
        <item x="134"/>
        <item x="83"/>
        <item x="130"/>
        <item x="106"/>
        <item x="31"/>
        <item x="72"/>
        <item x="153"/>
        <item x="99"/>
        <item x="75"/>
        <item x="116"/>
        <item x="146"/>
        <item x="65"/>
        <item x="127"/>
        <item x="60"/>
        <item x="102"/>
        <item x="64"/>
        <item x="154"/>
        <item x="27"/>
        <item x="122"/>
        <item x="58"/>
        <item x="114"/>
        <item x="140"/>
        <item x="16"/>
        <item x="77"/>
        <item x="36"/>
        <item x="143"/>
        <item x="48"/>
        <item x="50"/>
        <item x="37"/>
        <item x="121"/>
        <item x="150"/>
        <item x="136"/>
        <item x="155"/>
        <item x="44"/>
        <item x="43"/>
        <item x="128"/>
        <item x="129"/>
        <item x="80"/>
        <item x="70"/>
        <item x="117"/>
        <item x="113"/>
        <item x="89"/>
        <item x="54"/>
        <item x="108"/>
        <item x="144"/>
        <item x="32"/>
        <item x="112"/>
        <item x="71"/>
        <item x="85"/>
        <item x="148"/>
        <item x="124"/>
        <item x="35"/>
        <item x="107"/>
        <item x="25"/>
        <item x="2"/>
        <item x="81"/>
        <item x="109"/>
        <item x="151"/>
        <item x="46"/>
        <item x="67"/>
        <item x="53"/>
        <item x="51"/>
        <item x="33"/>
        <item x="8"/>
        <item x="22"/>
        <item x="142"/>
        <item x="115"/>
        <item x="52"/>
        <item x="39"/>
        <item x="34"/>
        <item x="69"/>
        <item x="103"/>
        <item x="13"/>
        <item x="23"/>
        <item x="4"/>
        <item x="135"/>
        <item x="76"/>
        <item x="30"/>
        <item x="132"/>
        <item x="68"/>
        <item x="63"/>
        <item x="94"/>
        <item x="17"/>
        <item x="5"/>
        <item x="104"/>
        <item x="19"/>
        <item x="41"/>
        <item x="62"/>
        <item x="57"/>
        <item x="133"/>
        <item x="79"/>
        <item x="74"/>
        <item x="26"/>
        <item x="15"/>
        <item x="131"/>
        <item x="6"/>
        <item x="119"/>
        <item x="29"/>
        <item x="156"/>
        <item x="141"/>
        <item x="96"/>
        <item x="92"/>
        <item x="66"/>
        <item x="98"/>
        <item t="default"/>
      </items>
    </pivotField>
    <pivotField showAll="0"/>
    <pivotField dataField="1" showAll="0"/>
    <pivotField showAll="0"/>
    <pivotField showAll="0"/>
    <pivotField showAll="0"/>
    <pivotField showAll="0"/>
  </pivotFields>
  <rowFields count="1">
    <field x="2"/>
  </rowFields>
  <rowItems count="11">
    <i>
      <x v="10"/>
    </i>
    <i>
      <x v="26"/>
    </i>
    <i>
      <x v="43"/>
    </i>
    <i>
      <x v="46"/>
    </i>
    <i>
      <x v="50"/>
    </i>
    <i>
      <x v="54"/>
    </i>
    <i>
      <x v="110"/>
    </i>
    <i>
      <x v="118"/>
    </i>
    <i>
      <x v="129"/>
    </i>
    <i>
      <x v="140"/>
    </i>
    <i t="grand">
      <x/>
    </i>
  </rowItems>
  <colItems count="1">
    <i/>
  </colItems>
  <dataFields count="1">
    <dataField name="Sum of Fatalities (air)" fld="4"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DDF6C1-0903-4046-B238-B58DDCF85FF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B19" firstHeaderRow="1" firstDataRow="1" firstDataCol="1"/>
  <pivotFields count="9">
    <pivotField showAll="0"/>
    <pivotField axis="axisRow" showAll="0">
      <items count="16">
        <item x="0"/>
        <item x="1"/>
        <item x="14"/>
        <item x="2"/>
        <item x="3"/>
        <item x="12"/>
        <item x="4"/>
        <item x="5"/>
        <item x="6"/>
        <item x="13"/>
        <item x="10"/>
        <item x="11"/>
        <item x="7"/>
        <item x="8"/>
        <item x="9"/>
        <item t="default"/>
      </items>
    </pivotField>
    <pivotField showAll="0"/>
    <pivotField showAll="0"/>
    <pivotField showAll="0"/>
    <pivotField showAll="0"/>
    <pivotField showAll="0"/>
    <pivotField showAll="0"/>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FATALITY RATE" fld="8" baseField="0" baseItem="0"/>
  </dataField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327EDE-DACA-4540-A85F-794408A89B2C}" sourceName="[Table1].[Year]">
  <pivotTables>
    <pivotTable tabId="13" name="PivotTable2"/>
  </pivotTables>
  <data>
    <olap pivotCacheId="151510060">
      <levels count="2">
        <level uniqueName="[Table1].[Year].[(All)]" sourceCaption="(All)" count="0"/>
        <level uniqueName="[Table1].[Year].[Year]" sourceCaption="Year" count="25">
          <ranges>
            <range startItem="0">
              <i n="[Table1].[Year].&amp;" c="(blank)"/>
              <i n="[Table1].[Year].&amp;[2000]" c="2000"/>
              <i n="[Table1].[Year].&amp;[2001]" c="2001"/>
              <i n="[Table1].[Year].&amp;[2002]" c="2002"/>
              <i n="[Table1].[Year].&amp;[2003]" c="2003"/>
              <i n="[Table1].[Year].&amp;[2004]" c="2004"/>
              <i n="[Table1].[Year].&amp;[2005]" c="2005"/>
              <i n="[Table1].[Year].&amp;[2006]" c="2006"/>
              <i n="[Table1].[Year].&amp;[2007]" c="2007"/>
              <i n="[Table1].[Year].&amp;[2008]" c="2008"/>
              <i n="[Table1].[Year].&amp;[2009]" c="2009"/>
              <i n="[Table1].[Year].&amp;[2010]" c="2010"/>
              <i n="[Table1].[Year].&amp;[2011]" c="2011"/>
              <i n="[Table1].[Year].&amp;[2012]" c="2012"/>
              <i n="[Table1].[Year].&amp;[2013]" c="2013"/>
              <i n="[Table1].[Year].&amp;[2014]" c="2014"/>
              <i n="[Table1].[Year].&amp;[2015]" c="2015"/>
              <i n="[Table1].[Year].&amp;[2016]" c="2016"/>
              <i n="[Table1].[Year].&amp;[2017]" c="2017"/>
              <i n="[Table1].[Year].&amp;[2018]" c="2018"/>
              <i n="[Table1].[Year].&amp;[2019]" c="2019"/>
              <i n="[Table1].[Year].&amp;[2020]" c="2020"/>
              <i n="[Table1].[Year].&amp;[2021]" c="2021"/>
              <i n="[Table1].[Year].&amp;[2022]" c="2022"/>
              <i n="[Table1].[Year].&amp;[2023]" c="2023"/>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FC7B4027-0943-4438-A993-2D01F15355BB}" sourceName="[Table1].[Country_Region]">
  <pivotTables>
    <pivotTable tabId="13" name="PivotTable2"/>
  </pivotTables>
  <data>
    <olap pivotCacheId="151510060">
      <levels count="2">
        <level uniqueName="[Table1].[Country_Region].[(All)]" sourceCaption="(All)" count="0"/>
        <level uniqueName="[Table1].[Country_Region].[Country_Region]" sourceCaption="Country_Region" count="16" sortOrder="ascending" crossFilter="showItemsWithNoData">
          <ranges>
            <range startItem="0">
              <i n="[Table1].[Country_Region].&amp;" c="(blank)"/>
              <i n="[Table1].[Country_Region].&amp;[Afghanistan]" c="Afghanistan"/>
              <i n="[Table1].[Country_Region].&amp;[Argentina]" c="Argentina"/>
              <i n="[Table1].[Country_Region].&amp;[Bangladesh]" c="Bangladesh"/>
              <i n="[Table1].[Country_Region].&amp;[Brazil]" c="Brazil"/>
              <i n="[Table1].[Country_Region].&amp;[Colombia]" c="Colombia"/>
              <i n="[Table1].[Country_Region].&amp;[Ethiopia]" c="Ethiopia"/>
              <i n="[Table1].[Country_Region].&amp;[India]" c="India"/>
              <i n="[Table1].[Country_Region].&amp;[Indonesia]" c="Indonesia"/>
              <i n="[Table1].[Country_Region].&amp;[Kenya]" c="Kenya"/>
              <i n="[Table1].[Country_Region].&amp;[Napal]" c="Napal"/>
              <i n="[Table1].[Country_Region].&amp;[Nepal]" c="Nepal"/>
              <i n="[Table1].[Country_Region].&amp;[Nigeria]" c="Nigeria"/>
              <i n="[Table1].[Country_Region].&amp;[Pakistan]" c="Pakistan"/>
              <i n="[Table1].[Country_Region].&amp;[Peru]" c="Peru"/>
              <i n="[Table1].[Country_Region].&amp;[Sudan]" c="Sudan"/>
            </range>
          </ranges>
        </level>
      </levels>
      <selections count="1">
        <selection n="[Table1].[Country_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B0E739C-DB6E-4462-B84D-1314B7262067}" cache="Slicer_Year" caption="Year" startItem="7" level="1" rowHeight="222250"/>
  <slicer name="Country_Region 1" xr10:uid="{1FE2B4F1-7E5C-4AD4-A00B-68A6386298F1}" cache="Slicer_Country_Region" caption="Country_Region" startItem="6" level="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4C1E2-67BB-4A88-9F47-6DC7D845F4D3}" name="Table1" displayName="Table1" ref="A1:I805" totalsRowShown="0">
  <autoFilter ref="A1:I805" xr:uid="{B594C1E2-67BB-4A88-9F47-6DC7D845F4D3}"/>
  <tableColumns count="9">
    <tableColumn id="1" xr3:uid="{A9B6591B-0A9A-44F8-BB17-83AA6FC4B4F7}" name="Year"/>
    <tableColumn id="2" xr3:uid="{9B42FE86-E7BD-48F8-BB1B-C146FDCD66CA}" name="Country_Region"/>
    <tableColumn id="3" xr3:uid="{15980382-E645-4D35-AB81-6343373AF396}" name="Location"/>
    <tableColumn id="4" xr3:uid="{307680B4-789D-4C8C-85AA-DA116453A2B2}" name="Operator"/>
    <tableColumn id="5" xr3:uid="{CC7C0A2B-FC2D-4A88-B1F4-46856BF8EFC4}" name="Fatalities (air)"/>
    <tableColumn id="6" xr3:uid="{E6CF04EC-F4DF-4AA2-9453-63BD5E7404A1}" name="Aboard"/>
    <tableColumn id="7" xr3:uid="{4A037FB7-4705-4BF6-9DCE-5CC87FA83AAB}" name="Crash_Count" dataDxfId="2">
      <calculatedColumnFormula>1</calculatedColumnFormula>
    </tableColumn>
    <tableColumn id="9" xr3:uid="{5A208AEA-B160-4045-B063-CE1FA4E4B698}" name="Severity Column" dataDxfId="1">
      <calculatedColumnFormula>Table1[[#This Row],[Fatalities (air)]]/Table1[[#This Row],[Aboard]]</calculatedColumnFormula>
    </tableColumn>
    <tableColumn id="10" xr3:uid="{94AA7478-7219-494D-A335-E9B3D298FBA2}" name="Region Column" dataDxfId="0"/>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Arial-Times New Roman">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B6B6-92A0-461A-B396-60D436B76C6B}">
  <dimension ref="A1:I805"/>
  <sheetViews>
    <sheetView topLeftCell="B1" workbookViewId="0">
      <selection activeCell="D1" sqref="D1"/>
    </sheetView>
  </sheetViews>
  <sheetFormatPr defaultRowHeight="13.8" x14ac:dyDescent="0.25"/>
  <cols>
    <col min="2" max="2" width="16.33203125" customWidth="1"/>
    <col min="3" max="3" width="35.21875" customWidth="1"/>
    <col min="4" max="4" width="48.33203125" customWidth="1"/>
    <col min="5" max="5" width="14.44140625" customWidth="1"/>
    <col min="6" max="6" width="9.44140625" customWidth="1"/>
    <col min="7" max="7" width="14" customWidth="1"/>
    <col min="9" max="9" width="23.44140625" bestFit="1" customWidth="1"/>
  </cols>
  <sheetData>
    <row r="1" spans="1:9" x14ac:dyDescent="0.25">
      <c r="A1" t="s">
        <v>0</v>
      </c>
      <c r="B1" t="s">
        <v>285</v>
      </c>
      <c r="C1" t="s">
        <v>16</v>
      </c>
      <c r="D1" t="s">
        <v>119</v>
      </c>
      <c r="E1" t="s">
        <v>262</v>
      </c>
      <c r="F1" t="s">
        <v>263</v>
      </c>
      <c r="G1" t="s">
        <v>264</v>
      </c>
      <c r="H1" t="s">
        <v>350</v>
      </c>
      <c r="I1" t="s">
        <v>351</v>
      </c>
    </row>
    <row r="2" spans="1:9" x14ac:dyDescent="0.25">
      <c r="A2">
        <v>2006</v>
      </c>
      <c r="B2" t="s">
        <v>1</v>
      </c>
      <c r="C2" t="s">
        <v>17</v>
      </c>
      <c r="D2" t="s">
        <v>120</v>
      </c>
      <c r="E2">
        <v>2</v>
      </c>
      <c r="F2">
        <v>16</v>
      </c>
      <c r="G2">
        <f>1</f>
        <v>1</v>
      </c>
      <c r="H2">
        <f>Table1[[#This Row],[Fatalities (air)]]/Table1[[#This Row],[Aboard]]</f>
        <v>0.125</v>
      </c>
      <c r="I2" t="s">
        <v>294</v>
      </c>
    </row>
    <row r="3" spans="1:9" x14ac:dyDescent="0.25">
      <c r="A3">
        <v>2013</v>
      </c>
      <c r="B3" t="s">
        <v>1</v>
      </c>
      <c r="C3" t="s">
        <v>18</v>
      </c>
      <c r="D3" t="s">
        <v>121</v>
      </c>
      <c r="E3">
        <v>7</v>
      </c>
      <c r="F3">
        <v>7</v>
      </c>
      <c r="G3">
        <f>1</f>
        <v>1</v>
      </c>
      <c r="H3">
        <f>Table1[[#This Row],[Fatalities (air)]]/Table1[[#This Row],[Aboard]]</f>
        <v>1</v>
      </c>
      <c r="I3" t="s">
        <v>295</v>
      </c>
    </row>
    <row r="4" spans="1:9" x14ac:dyDescent="0.25">
      <c r="A4">
        <v>2001</v>
      </c>
      <c r="B4" t="s">
        <v>2</v>
      </c>
      <c r="C4" t="s">
        <v>325</v>
      </c>
      <c r="D4" t="s">
        <v>122</v>
      </c>
      <c r="E4">
        <v>10</v>
      </c>
      <c r="F4">
        <v>10</v>
      </c>
      <c r="G4">
        <f>1</f>
        <v>1</v>
      </c>
      <c r="H4">
        <f>Table1[[#This Row],[Fatalities (air)]]/Table1[[#This Row],[Aboard]]</f>
        <v>1</v>
      </c>
      <c r="I4" t="s">
        <v>295</v>
      </c>
    </row>
    <row r="5" spans="1:9" x14ac:dyDescent="0.25">
      <c r="A5">
        <v>2011</v>
      </c>
      <c r="B5" t="s">
        <v>3</v>
      </c>
      <c r="C5" t="s">
        <v>19</v>
      </c>
      <c r="D5" t="s">
        <v>123</v>
      </c>
      <c r="E5">
        <v>7</v>
      </c>
      <c r="F5">
        <v>7</v>
      </c>
      <c r="G5">
        <f>1</f>
        <v>1</v>
      </c>
      <c r="H5">
        <f>Table1[[#This Row],[Fatalities (air)]]/Table1[[#This Row],[Aboard]]</f>
        <v>1</v>
      </c>
      <c r="I5" t="s">
        <v>295</v>
      </c>
    </row>
    <row r="6" spans="1:9" x14ac:dyDescent="0.25">
      <c r="A6">
        <v>2002</v>
      </c>
      <c r="B6" t="s">
        <v>4</v>
      </c>
      <c r="C6" t="s">
        <v>20</v>
      </c>
      <c r="D6" t="s">
        <v>124</v>
      </c>
      <c r="E6">
        <v>3</v>
      </c>
      <c r="F6">
        <v>8</v>
      </c>
      <c r="G6">
        <f>1</f>
        <v>1</v>
      </c>
      <c r="H6">
        <f>Table1[[#This Row],[Fatalities (air)]]/Table1[[#This Row],[Aboard]]</f>
        <v>0.375</v>
      </c>
      <c r="I6" t="s">
        <v>295</v>
      </c>
    </row>
    <row r="7" spans="1:9" x14ac:dyDescent="0.25">
      <c r="A7">
        <v>2012</v>
      </c>
      <c r="B7" t="s">
        <v>4</v>
      </c>
      <c r="C7" t="s">
        <v>21</v>
      </c>
      <c r="D7" t="s">
        <v>125</v>
      </c>
      <c r="E7">
        <v>13</v>
      </c>
      <c r="F7">
        <v>13</v>
      </c>
      <c r="G7">
        <f>1</f>
        <v>1</v>
      </c>
      <c r="H7">
        <f>Table1[[#This Row],[Fatalities (air)]]/Table1[[#This Row],[Aboard]]</f>
        <v>1</v>
      </c>
      <c r="I7" t="s">
        <v>295</v>
      </c>
    </row>
    <row r="8" spans="1:9" x14ac:dyDescent="0.25">
      <c r="A8">
        <v>2011</v>
      </c>
      <c r="B8" t="s">
        <v>5</v>
      </c>
      <c r="C8" t="s">
        <v>22</v>
      </c>
      <c r="D8" t="s">
        <v>126</v>
      </c>
      <c r="E8">
        <v>18</v>
      </c>
      <c r="F8">
        <v>23</v>
      </c>
      <c r="G8">
        <f>1</f>
        <v>1</v>
      </c>
      <c r="H8">
        <f>Table1[[#This Row],[Fatalities (air)]]/Table1[[#This Row],[Aboard]]</f>
        <v>0.78260869565217395</v>
      </c>
      <c r="I8" t="s">
        <v>295</v>
      </c>
    </row>
    <row r="9" spans="1:9" x14ac:dyDescent="0.25">
      <c r="A9">
        <v>2013</v>
      </c>
      <c r="B9" t="s">
        <v>6</v>
      </c>
      <c r="C9" t="s">
        <v>23</v>
      </c>
      <c r="D9" t="s">
        <v>127</v>
      </c>
      <c r="E9">
        <v>0</v>
      </c>
      <c r="F9">
        <v>108</v>
      </c>
      <c r="G9">
        <f>1</f>
        <v>1</v>
      </c>
      <c r="H9">
        <f>Table1[[#This Row],[Fatalities (air)]]/Table1[[#This Row],[Aboard]]</f>
        <v>0</v>
      </c>
      <c r="I9" t="s">
        <v>295</v>
      </c>
    </row>
    <row r="10" spans="1:9" x14ac:dyDescent="0.25">
      <c r="A10">
        <v>2009</v>
      </c>
      <c r="B10" t="s">
        <v>6</v>
      </c>
      <c r="C10" t="s">
        <v>322</v>
      </c>
      <c r="D10" t="s">
        <v>128</v>
      </c>
      <c r="E10">
        <v>6</v>
      </c>
      <c r="F10">
        <v>6</v>
      </c>
      <c r="G10">
        <f>1</f>
        <v>1</v>
      </c>
      <c r="H10">
        <f>Table1[[#This Row],[Fatalities (air)]]/Table1[[#This Row],[Aboard]]</f>
        <v>1</v>
      </c>
      <c r="I10" t="s">
        <v>295</v>
      </c>
    </row>
    <row r="11" spans="1:9" x14ac:dyDescent="0.25">
      <c r="A11">
        <v>2005</v>
      </c>
      <c r="B11" t="s">
        <v>6</v>
      </c>
      <c r="C11" t="s">
        <v>24</v>
      </c>
      <c r="D11" t="s">
        <v>129</v>
      </c>
      <c r="E11">
        <v>18</v>
      </c>
      <c r="F11">
        <v>18</v>
      </c>
      <c r="G11">
        <f>1</f>
        <v>1</v>
      </c>
      <c r="H11">
        <f>Table1[[#This Row],[Fatalities (air)]]/Table1[[#This Row],[Aboard]]</f>
        <v>1</v>
      </c>
      <c r="I11" t="s">
        <v>295</v>
      </c>
    </row>
    <row r="12" spans="1:9" x14ac:dyDescent="0.25">
      <c r="A12">
        <v>2009</v>
      </c>
      <c r="B12" t="s">
        <v>6</v>
      </c>
      <c r="C12" t="s">
        <v>25</v>
      </c>
      <c r="D12" t="s">
        <v>130</v>
      </c>
      <c r="E12">
        <v>24</v>
      </c>
      <c r="F12">
        <v>24</v>
      </c>
      <c r="G12">
        <f>1</f>
        <v>1</v>
      </c>
      <c r="H12">
        <f>Table1[[#This Row],[Fatalities (air)]]/Table1[[#This Row],[Aboard]]</f>
        <v>1</v>
      </c>
      <c r="I12" t="s">
        <v>295</v>
      </c>
    </row>
    <row r="13" spans="1:9" x14ac:dyDescent="0.25">
      <c r="A13">
        <v>2006</v>
      </c>
      <c r="B13" t="s">
        <v>7</v>
      </c>
      <c r="C13" t="s">
        <v>26</v>
      </c>
      <c r="D13" t="s">
        <v>131</v>
      </c>
      <c r="E13">
        <v>14</v>
      </c>
      <c r="F13">
        <v>17</v>
      </c>
      <c r="G13">
        <f>1</f>
        <v>1</v>
      </c>
      <c r="H13">
        <f>Table1[[#This Row],[Fatalities (air)]]/Table1[[#This Row],[Aboard]]</f>
        <v>0.82352941176470584</v>
      </c>
      <c r="I13" t="s">
        <v>294</v>
      </c>
    </row>
    <row r="14" spans="1:9" x14ac:dyDescent="0.25">
      <c r="A14">
        <v>2012</v>
      </c>
      <c r="B14" t="s">
        <v>8</v>
      </c>
      <c r="C14" t="s">
        <v>27</v>
      </c>
      <c r="D14" t="s">
        <v>132</v>
      </c>
      <c r="E14">
        <v>127</v>
      </c>
      <c r="F14">
        <v>127</v>
      </c>
      <c r="G14">
        <f>1</f>
        <v>1</v>
      </c>
      <c r="H14">
        <f>Table1[[#This Row],[Fatalities (air)]]/Table1[[#This Row],[Aboard]]</f>
        <v>1</v>
      </c>
      <c r="I14" t="s">
        <v>296</v>
      </c>
    </row>
    <row r="15" spans="1:9" x14ac:dyDescent="0.25">
      <c r="A15">
        <v>2005</v>
      </c>
      <c r="B15" t="s">
        <v>9</v>
      </c>
      <c r="C15" t="s">
        <v>28</v>
      </c>
      <c r="D15" t="s">
        <v>133</v>
      </c>
      <c r="E15">
        <v>13</v>
      </c>
      <c r="F15">
        <v>13</v>
      </c>
      <c r="G15">
        <f>1</f>
        <v>1</v>
      </c>
      <c r="H15">
        <f>Table1[[#This Row],[Fatalities (air)]]/Table1[[#This Row],[Aboard]]</f>
        <v>1</v>
      </c>
      <c r="I15" t="s">
        <v>296</v>
      </c>
    </row>
    <row r="16" spans="1:9" x14ac:dyDescent="0.25">
      <c r="A16">
        <v>2001</v>
      </c>
      <c r="B16" t="s">
        <v>10</v>
      </c>
      <c r="C16" t="s">
        <v>29</v>
      </c>
      <c r="D16" t="s">
        <v>134</v>
      </c>
      <c r="E16">
        <v>14</v>
      </c>
      <c r="F16">
        <v>30</v>
      </c>
      <c r="G16">
        <f>1</f>
        <v>1</v>
      </c>
      <c r="H16">
        <f>Table1[[#This Row],[Fatalities (air)]]/Table1[[#This Row],[Aboard]]</f>
        <v>0.46666666666666667</v>
      </c>
      <c r="I16" t="s">
        <v>296</v>
      </c>
    </row>
    <row r="17" spans="1:9" x14ac:dyDescent="0.25">
      <c r="A17">
        <v>2011</v>
      </c>
      <c r="B17" t="s">
        <v>1</v>
      </c>
      <c r="C17" t="s">
        <v>30</v>
      </c>
      <c r="D17" t="s">
        <v>135</v>
      </c>
      <c r="E17">
        <v>38</v>
      </c>
      <c r="F17">
        <v>38</v>
      </c>
      <c r="G17">
        <f>1</f>
        <v>1</v>
      </c>
      <c r="H17">
        <f>Table1[[#This Row],[Fatalities (air)]]/Table1[[#This Row],[Aboard]]</f>
        <v>1</v>
      </c>
      <c r="I17" t="s">
        <v>296</v>
      </c>
    </row>
    <row r="18" spans="1:9" x14ac:dyDescent="0.25">
      <c r="A18">
        <v>2007</v>
      </c>
      <c r="B18" t="s">
        <v>3</v>
      </c>
      <c r="C18" t="s">
        <v>40</v>
      </c>
      <c r="D18" t="s">
        <v>136</v>
      </c>
      <c r="E18">
        <v>2</v>
      </c>
      <c r="F18">
        <v>2</v>
      </c>
      <c r="G18">
        <f>1</f>
        <v>1</v>
      </c>
      <c r="H18">
        <f>Table1[[#This Row],[Fatalities (air)]]/Table1[[#This Row],[Aboard]]</f>
        <v>1</v>
      </c>
      <c r="I18" t="s">
        <v>296</v>
      </c>
    </row>
    <row r="19" spans="1:9" x14ac:dyDescent="0.25">
      <c r="A19">
        <v>2002</v>
      </c>
      <c r="B19" t="s">
        <v>3</v>
      </c>
      <c r="C19" t="s">
        <v>31</v>
      </c>
      <c r="D19" t="s">
        <v>137</v>
      </c>
      <c r="E19">
        <v>23</v>
      </c>
      <c r="F19">
        <v>31</v>
      </c>
      <c r="G19">
        <f>1</f>
        <v>1</v>
      </c>
      <c r="H19">
        <f>Table1[[#This Row],[Fatalities (air)]]/Table1[[#This Row],[Aboard]]</f>
        <v>0.74193548387096775</v>
      </c>
      <c r="I19" t="s">
        <v>296</v>
      </c>
    </row>
    <row r="20" spans="1:9" x14ac:dyDescent="0.25">
      <c r="A20">
        <v>2000</v>
      </c>
      <c r="B20" t="s">
        <v>3</v>
      </c>
      <c r="C20" t="s">
        <v>32</v>
      </c>
      <c r="D20" t="s">
        <v>138</v>
      </c>
      <c r="E20">
        <v>6</v>
      </c>
      <c r="F20">
        <v>6</v>
      </c>
      <c r="G20">
        <f>1</f>
        <v>1</v>
      </c>
      <c r="H20">
        <f>Table1[[#This Row],[Fatalities (air)]]/Table1[[#This Row],[Aboard]]</f>
        <v>1</v>
      </c>
      <c r="I20" t="s">
        <v>296</v>
      </c>
    </row>
    <row r="21" spans="1:9" x14ac:dyDescent="0.25">
      <c r="A21">
        <v>2010</v>
      </c>
      <c r="B21" t="s">
        <v>4</v>
      </c>
      <c r="C21" t="s">
        <v>33</v>
      </c>
      <c r="D21" t="s">
        <v>139</v>
      </c>
      <c r="E21">
        <v>2</v>
      </c>
      <c r="F21">
        <v>131</v>
      </c>
      <c r="G21">
        <f>1</f>
        <v>1</v>
      </c>
      <c r="H21">
        <f>Table1[[#This Row],[Fatalities (air)]]/Table1[[#This Row],[Aboard]]</f>
        <v>1.5267175572519083E-2</v>
      </c>
      <c r="I21" t="s">
        <v>296</v>
      </c>
    </row>
    <row r="22" spans="1:9" x14ac:dyDescent="0.25">
      <c r="A22">
        <v>2020</v>
      </c>
      <c r="B22" t="s">
        <v>5</v>
      </c>
      <c r="C22" t="s">
        <v>34</v>
      </c>
      <c r="D22" t="s">
        <v>140</v>
      </c>
      <c r="E22">
        <v>20</v>
      </c>
      <c r="F22">
        <v>190</v>
      </c>
      <c r="G22">
        <f>1</f>
        <v>1</v>
      </c>
      <c r="H22">
        <f>Table1[[#This Row],[Fatalities (air)]]/Table1[[#This Row],[Aboard]]</f>
        <v>0.10526315789473684</v>
      </c>
      <c r="I22" t="s">
        <v>296</v>
      </c>
    </row>
    <row r="23" spans="1:9" x14ac:dyDescent="0.25">
      <c r="A23">
        <v>2009</v>
      </c>
      <c r="B23" t="s">
        <v>6</v>
      </c>
      <c r="C23" t="s">
        <v>35</v>
      </c>
      <c r="D23" t="s">
        <v>141</v>
      </c>
      <c r="E23">
        <v>16</v>
      </c>
      <c r="F23">
        <v>16</v>
      </c>
      <c r="G23">
        <f>1</f>
        <v>1</v>
      </c>
      <c r="H23">
        <f>Table1[[#This Row],[Fatalities (air)]]/Table1[[#This Row],[Aboard]]</f>
        <v>1</v>
      </c>
      <c r="I23" t="s">
        <v>296</v>
      </c>
    </row>
    <row r="24" spans="1:9" x14ac:dyDescent="0.25">
      <c r="A24">
        <v>2015</v>
      </c>
      <c r="B24" t="s">
        <v>6</v>
      </c>
      <c r="C24" t="s">
        <v>36</v>
      </c>
      <c r="D24" t="s">
        <v>142</v>
      </c>
      <c r="E24">
        <v>1</v>
      </c>
      <c r="F24">
        <v>6</v>
      </c>
      <c r="G24">
        <f>1</f>
        <v>1</v>
      </c>
      <c r="H24">
        <f>Table1[[#This Row],[Fatalities (air)]]/Table1[[#This Row],[Aboard]]</f>
        <v>0.16666666666666666</v>
      </c>
      <c r="I24" t="s">
        <v>296</v>
      </c>
    </row>
    <row r="25" spans="1:9" x14ac:dyDescent="0.25">
      <c r="A25">
        <v>2002</v>
      </c>
      <c r="B25" t="s">
        <v>11</v>
      </c>
      <c r="C25" t="s">
        <v>37</v>
      </c>
      <c r="D25" t="s">
        <v>143</v>
      </c>
      <c r="E25">
        <v>18</v>
      </c>
      <c r="F25">
        <v>18</v>
      </c>
      <c r="G25">
        <f>1</f>
        <v>1</v>
      </c>
      <c r="H25">
        <f>Table1[[#This Row],[Fatalities (air)]]/Table1[[#This Row],[Aboard]]</f>
        <v>1</v>
      </c>
      <c r="I25" t="s">
        <v>295</v>
      </c>
    </row>
    <row r="26" spans="1:9" x14ac:dyDescent="0.25">
      <c r="A26">
        <v>2010</v>
      </c>
      <c r="B26" t="s">
        <v>11</v>
      </c>
      <c r="C26" t="s">
        <v>38</v>
      </c>
      <c r="D26" t="s">
        <v>144</v>
      </c>
      <c r="E26">
        <v>14</v>
      </c>
      <c r="F26">
        <v>14</v>
      </c>
      <c r="G26">
        <f>1</f>
        <v>1</v>
      </c>
      <c r="H26">
        <f>Table1[[#This Row],[Fatalities (air)]]/Table1[[#This Row],[Aboard]]</f>
        <v>1</v>
      </c>
      <c r="I26" t="s">
        <v>295</v>
      </c>
    </row>
    <row r="27" spans="1:9" x14ac:dyDescent="0.25">
      <c r="A27">
        <v>2005</v>
      </c>
      <c r="B27" t="s">
        <v>9</v>
      </c>
      <c r="C27" t="s">
        <v>324</v>
      </c>
      <c r="D27" t="s">
        <v>145</v>
      </c>
      <c r="E27">
        <v>40</v>
      </c>
      <c r="F27">
        <v>98</v>
      </c>
      <c r="G27">
        <f>1</f>
        <v>1</v>
      </c>
      <c r="H27">
        <f>Table1[[#This Row],[Fatalities (air)]]/Table1[[#This Row],[Aboard]]</f>
        <v>0.40816326530612246</v>
      </c>
      <c r="I27" t="s">
        <v>295</v>
      </c>
    </row>
    <row r="28" spans="1:9" x14ac:dyDescent="0.25">
      <c r="A28">
        <v>2012</v>
      </c>
      <c r="B28" t="s">
        <v>10</v>
      </c>
      <c r="C28" t="s">
        <v>39</v>
      </c>
      <c r="D28" t="s">
        <v>146</v>
      </c>
      <c r="E28">
        <v>32</v>
      </c>
      <c r="F28">
        <v>32</v>
      </c>
      <c r="G28">
        <f>1</f>
        <v>1</v>
      </c>
      <c r="H28">
        <f>Table1[[#This Row],[Fatalities (air)]]/Table1[[#This Row],[Aboard]]</f>
        <v>1</v>
      </c>
      <c r="I28" t="s">
        <v>295</v>
      </c>
    </row>
    <row r="29" spans="1:9" x14ac:dyDescent="0.25">
      <c r="A29">
        <v>2013</v>
      </c>
      <c r="B29" t="s">
        <v>3</v>
      </c>
      <c r="C29" t="s">
        <v>323</v>
      </c>
      <c r="D29" t="s">
        <v>147</v>
      </c>
      <c r="E29">
        <v>5</v>
      </c>
      <c r="F29">
        <v>5</v>
      </c>
      <c r="G29">
        <f>1</f>
        <v>1</v>
      </c>
      <c r="H29">
        <f>Table1[[#This Row],[Fatalities (air)]]/Table1[[#This Row],[Aboard]]</f>
        <v>1</v>
      </c>
      <c r="I29" t="s">
        <v>295</v>
      </c>
    </row>
    <row r="30" spans="1:9" x14ac:dyDescent="0.25">
      <c r="A30">
        <v>2002</v>
      </c>
      <c r="B30" t="s">
        <v>3</v>
      </c>
      <c r="C30" t="s">
        <v>40</v>
      </c>
      <c r="D30" t="s">
        <v>148</v>
      </c>
      <c r="E30">
        <v>3</v>
      </c>
      <c r="F30">
        <v>16</v>
      </c>
      <c r="G30">
        <f>1</f>
        <v>1</v>
      </c>
      <c r="H30">
        <f>Table1[[#This Row],[Fatalities (air)]]/Table1[[#This Row],[Aboard]]</f>
        <v>0.1875</v>
      </c>
      <c r="I30" t="s">
        <v>295</v>
      </c>
    </row>
    <row r="31" spans="1:9" x14ac:dyDescent="0.25">
      <c r="A31">
        <v>2004</v>
      </c>
      <c r="B31" t="s">
        <v>3</v>
      </c>
      <c r="C31" t="s">
        <v>41</v>
      </c>
      <c r="D31" t="s">
        <v>149</v>
      </c>
      <c r="E31">
        <v>2</v>
      </c>
      <c r="F31">
        <v>2</v>
      </c>
      <c r="G31">
        <f>1</f>
        <v>1</v>
      </c>
      <c r="H31">
        <f>Table1[[#This Row],[Fatalities (air)]]/Table1[[#This Row],[Aboard]]</f>
        <v>1</v>
      </c>
      <c r="I31" t="s">
        <v>295</v>
      </c>
    </row>
    <row r="32" spans="1:9" x14ac:dyDescent="0.25">
      <c r="A32">
        <v>2016</v>
      </c>
      <c r="B32" t="s">
        <v>4</v>
      </c>
      <c r="C32" t="s">
        <v>42</v>
      </c>
      <c r="D32" t="s">
        <v>150</v>
      </c>
      <c r="E32">
        <v>5</v>
      </c>
      <c r="F32">
        <v>6</v>
      </c>
      <c r="G32">
        <f>1</f>
        <v>1</v>
      </c>
      <c r="H32">
        <f>Table1[[#This Row],[Fatalities (air)]]/Table1[[#This Row],[Aboard]]</f>
        <v>0.83333333333333337</v>
      </c>
      <c r="I32" t="s">
        <v>295</v>
      </c>
    </row>
    <row r="33" spans="1:9" x14ac:dyDescent="0.25">
      <c r="A33">
        <v>2003</v>
      </c>
      <c r="B33" t="s">
        <v>4</v>
      </c>
      <c r="C33" t="s">
        <v>43</v>
      </c>
      <c r="D33" t="s">
        <v>151</v>
      </c>
      <c r="E33">
        <v>3</v>
      </c>
      <c r="F33">
        <v>3</v>
      </c>
      <c r="G33">
        <f>1</f>
        <v>1</v>
      </c>
      <c r="H33">
        <f>Table1[[#This Row],[Fatalities (air)]]/Table1[[#This Row],[Aboard]]</f>
        <v>1</v>
      </c>
      <c r="I33" t="s">
        <v>295</v>
      </c>
    </row>
    <row r="34" spans="1:9" x14ac:dyDescent="0.25">
      <c r="A34">
        <v>2001</v>
      </c>
      <c r="B34" t="s">
        <v>4</v>
      </c>
      <c r="C34" t="s">
        <v>309</v>
      </c>
      <c r="D34" t="s">
        <v>152</v>
      </c>
      <c r="E34">
        <v>16</v>
      </c>
      <c r="F34">
        <v>16</v>
      </c>
      <c r="G34">
        <f>1</f>
        <v>1</v>
      </c>
      <c r="H34">
        <f>Table1[[#This Row],[Fatalities (air)]]/Table1[[#This Row],[Aboard]]</f>
        <v>1</v>
      </c>
      <c r="I34" t="s">
        <v>295</v>
      </c>
    </row>
    <row r="35" spans="1:9" x14ac:dyDescent="0.25">
      <c r="A35">
        <v>2016</v>
      </c>
      <c r="B35" t="s">
        <v>6</v>
      </c>
      <c r="C35" t="s">
        <v>326</v>
      </c>
      <c r="D35" t="s">
        <v>153</v>
      </c>
      <c r="E35">
        <v>13</v>
      </c>
      <c r="F35">
        <v>13</v>
      </c>
      <c r="G35">
        <f>1</f>
        <v>1</v>
      </c>
      <c r="H35">
        <f>Table1[[#This Row],[Fatalities (air)]]/Table1[[#This Row],[Aboard]]</f>
        <v>1</v>
      </c>
      <c r="I35" t="s">
        <v>295</v>
      </c>
    </row>
    <row r="36" spans="1:9" x14ac:dyDescent="0.25">
      <c r="A36">
        <v>2010</v>
      </c>
      <c r="B36" t="s">
        <v>11</v>
      </c>
      <c r="C36" t="s">
        <v>44</v>
      </c>
      <c r="D36" t="s">
        <v>154</v>
      </c>
      <c r="E36">
        <v>22</v>
      </c>
      <c r="F36">
        <v>22</v>
      </c>
      <c r="G36">
        <f>1</f>
        <v>1</v>
      </c>
      <c r="H36">
        <f>Table1[[#This Row],[Fatalities (air)]]/Table1[[#This Row],[Aboard]]</f>
        <v>1</v>
      </c>
      <c r="I36" t="s">
        <v>295</v>
      </c>
    </row>
    <row r="37" spans="1:9" x14ac:dyDescent="0.25">
      <c r="A37">
        <v>2005</v>
      </c>
      <c r="B37" t="s">
        <v>12</v>
      </c>
      <c r="C37" t="s">
        <v>106</v>
      </c>
      <c r="D37" t="s">
        <v>155</v>
      </c>
      <c r="E37">
        <v>108</v>
      </c>
      <c r="F37">
        <v>110</v>
      </c>
      <c r="G37">
        <f>1</f>
        <v>1</v>
      </c>
      <c r="H37">
        <f>Table1[[#This Row],[Fatalities (air)]]/Table1[[#This Row],[Aboard]]</f>
        <v>0.98181818181818181</v>
      </c>
      <c r="I37" t="s">
        <v>295</v>
      </c>
    </row>
    <row r="38" spans="1:9" x14ac:dyDescent="0.25">
      <c r="A38">
        <v>2016</v>
      </c>
      <c r="B38" t="s">
        <v>8</v>
      </c>
      <c r="C38" t="s">
        <v>327</v>
      </c>
      <c r="D38" t="s">
        <v>156</v>
      </c>
      <c r="E38">
        <v>48</v>
      </c>
      <c r="F38">
        <v>48</v>
      </c>
      <c r="G38">
        <f>1</f>
        <v>1</v>
      </c>
      <c r="H38">
        <f>Table1[[#This Row],[Fatalities (air)]]/Table1[[#This Row],[Aboard]]</f>
        <v>1</v>
      </c>
      <c r="I38" t="s">
        <v>295</v>
      </c>
    </row>
    <row r="39" spans="1:9" x14ac:dyDescent="0.25">
      <c r="A39">
        <v>2005</v>
      </c>
      <c r="B39" t="s">
        <v>1</v>
      </c>
      <c r="C39" t="s">
        <v>77</v>
      </c>
      <c r="D39" t="s">
        <v>157</v>
      </c>
      <c r="E39">
        <v>104</v>
      </c>
      <c r="F39">
        <v>104</v>
      </c>
      <c r="G39">
        <f>1</f>
        <v>1</v>
      </c>
      <c r="H39">
        <f>Table1[[#This Row],[Fatalities (air)]]/Table1[[#This Row],[Aboard]]</f>
        <v>1</v>
      </c>
      <c r="I39" t="s">
        <v>295</v>
      </c>
    </row>
    <row r="40" spans="1:9" x14ac:dyDescent="0.25">
      <c r="A40">
        <v>2009</v>
      </c>
      <c r="B40" t="s">
        <v>3</v>
      </c>
      <c r="C40" t="s">
        <v>45</v>
      </c>
      <c r="D40" t="s">
        <v>158</v>
      </c>
      <c r="E40">
        <v>24</v>
      </c>
      <c r="F40">
        <v>28</v>
      </c>
      <c r="G40">
        <f>1</f>
        <v>1</v>
      </c>
      <c r="H40">
        <f>Table1[[#This Row],[Fatalities (air)]]/Table1[[#This Row],[Aboard]]</f>
        <v>0.8571428571428571</v>
      </c>
      <c r="I40" t="s">
        <v>295</v>
      </c>
    </row>
    <row r="41" spans="1:9" x14ac:dyDescent="0.25">
      <c r="A41">
        <v>2005</v>
      </c>
      <c r="B41" t="s">
        <v>6</v>
      </c>
      <c r="C41" t="s">
        <v>46</v>
      </c>
      <c r="D41" t="s">
        <v>159</v>
      </c>
      <c r="E41">
        <v>15</v>
      </c>
      <c r="F41">
        <v>18</v>
      </c>
      <c r="G41">
        <f>1</f>
        <v>1</v>
      </c>
      <c r="H41">
        <f>Table1[[#This Row],[Fatalities (air)]]/Table1[[#This Row],[Aboard]]</f>
        <v>0.83333333333333337</v>
      </c>
      <c r="I41" t="s">
        <v>294</v>
      </c>
    </row>
    <row r="42" spans="1:9" x14ac:dyDescent="0.25">
      <c r="A42">
        <v>2016</v>
      </c>
      <c r="B42" t="s">
        <v>11</v>
      </c>
      <c r="C42" t="s">
        <v>47</v>
      </c>
      <c r="D42" t="s">
        <v>154</v>
      </c>
      <c r="E42">
        <v>23</v>
      </c>
      <c r="F42">
        <v>23</v>
      </c>
      <c r="G42">
        <f>1</f>
        <v>1</v>
      </c>
      <c r="H42">
        <f>Table1[[#This Row],[Fatalities (air)]]/Table1[[#This Row],[Aboard]]</f>
        <v>1</v>
      </c>
      <c r="I42" t="s">
        <v>297</v>
      </c>
    </row>
    <row r="43" spans="1:9" x14ac:dyDescent="0.25">
      <c r="A43">
        <v>2014</v>
      </c>
      <c r="B43" t="s">
        <v>11</v>
      </c>
      <c r="C43" t="s">
        <v>48</v>
      </c>
      <c r="D43" t="s">
        <v>160</v>
      </c>
      <c r="E43">
        <v>18</v>
      </c>
      <c r="F43">
        <v>18</v>
      </c>
      <c r="G43">
        <f>1</f>
        <v>1</v>
      </c>
      <c r="H43">
        <f>Table1[[#This Row],[Fatalities (air)]]/Table1[[#This Row],[Aboard]]</f>
        <v>1</v>
      </c>
      <c r="I43" t="s">
        <v>294</v>
      </c>
    </row>
    <row r="44" spans="1:9" x14ac:dyDescent="0.25">
      <c r="A44">
        <v>2016</v>
      </c>
      <c r="B44" t="s">
        <v>11</v>
      </c>
      <c r="C44" t="s">
        <v>49</v>
      </c>
      <c r="D44" t="s">
        <v>161</v>
      </c>
      <c r="E44">
        <v>2</v>
      </c>
      <c r="F44">
        <v>11</v>
      </c>
      <c r="G44">
        <f>1</f>
        <v>1</v>
      </c>
      <c r="H44">
        <f>Table1[[#This Row],[Fatalities (air)]]/Table1[[#This Row],[Aboard]]</f>
        <v>0.18181818181818182</v>
      </c>
      <c r="I44" t="s">
        <v>294</v>
      </c>
    </row>
    <row r="45" spans="1:9" x14ac:dyDescent="0.25">
      <c r="A45">
        <v>2003</v>
      </c>
      <c r="B45" t="s">
        <v>8</v>
      </c>
      <c r="C45" t="s">
        <v>347</v>
      </c>
      <c r="D45" t="s">
        <v>162</v>
      </c>
      <c r="E45">
        <v>17</v>
      </c>
      <c r="F45">
        <v>17</v>
      </c>
      <c r="G45">
        <f>1</f>
        <v>1</v>
      </c>
      <c r="H45">
        <f>Table1[[#This Row],[Fatalities (air)]]/Table1[[#This Row],[Aboard]]</f>
        <v>1</v>
      </c>
      <c r="I45" t="s">
        <v>294</v>
      </c>
    </row>
    <row r="46" spans="1:9" x14ac:dyDescent="0.25">
      <c r="A46">
        <v>2005</v>
      </c>
      <c r="B46" t="s">
        <v>10</v>
      </c>
      <c r="C46" t="s">
        <v>75</v>
      </c>
      <c r="D46" t="s">
        <v>163</v>
      </c>
      <c r="E46">
        <v>7</v>
      </c>
      <c r="F46">
        <v>7</v>
      </c>
      <c r="G46">
        <f>1</f>
        <v>1</v>
      </c>
      <c r="H46">
        <f>Table1[[#This Row],[Fatalities (air)]]/Table1[[#This Row],[Aboard]]</f>
        <v>1</v>
      </c>
      <c r="I46" t="s">
        <v>294</v>
      </c>
    </row>
    <row r="47" spans="1:9" x14ac:dyDescent="0.25">
      <c r="A47">
        <v>2009</v>
      </c>
      <c r="B47" t="s">
        <v>1</v>
      </c>
      <c r="C47" t="s">
        <v>50</v>
      </c>
      <c r="D47" t="s">
        <v>164</v>
      </c>
      <c r="E47">
        <v>13</v>
      </c>
      <c r="F47">
        <v>13</v>
      </c>
      <c r="G47">
        <f>1</f>
        <v>1</v>
      </c>
      <c r="H47">
        <f>Table1[[#This Row],[Fatalities (air)]]/Table1[[#This Row],[Aboard]]</f>
        <v>1</v>
      </c>
      <c r="I47" t="s">
        <v>294</v>
      </c>
    </row>
    <row r="48" spans="1:9" x14ac:dyDescent="0.25">
      <c r="A48">
        <v>2010</v>
      </c>
      <c r="B48" t="s">
        <v>3</v>
      </c>
      <c r="C48" t="s">
        <v>346</v>
      </c>
      <c r="D48" t="s">
        <v>165</v>
      </c>
      <c r="E48">
        <v>2</v>
      </c>
      <c r="F48">
        <v>10</v>
      </c>
      <c r="G48">
        <f>1</f>
        <v>1</v>
      </c>
      <c r="H48">
        <f>Table1[[#This Row],[Fatalities (air)]]/Table1[[#This Row],[Aboard]]</f>
        <v>0.2</v>
      </c>
      <c r="I48" t="s">
        <v>294</v>
      </c>
    </row>
    <row r="49" spans="1:9" x14ac:dyDescent="0.25">
      <c r="A49">
        <v>2005</v>
      </c>
      <c r="B49" t="s">
        <v>4</v>
      </c>
      <c r="C49" t="s">
        <v>51</v>
      </c>
      <c r="D49" t="s">
        <v>166</v>
      </c>
      <c r="E49">
        <v>20</v>
      </c>
      <c r="F49">
        <v>20</v>
      </c>
      <c r="G49">
        <f>1</f>
        <v>1</v>
      </c>
      <c r="H49">
        <f>Table1[[#This Row],[Fatalities (air)]]/Table1[[#This Row],[Aboard]]</f>
        <v>1</v>
      </c>
      <c r="I49" t="s">
        <v>294</v>
      </c>
    </row>
    <row r="50" spans="1:9" x14ac:dyDescent="0.25">
      <c r="A50">
        <v>2002</v>
      </c>
      <c r="B50" t="s">
        <v>4</v>
      </c>
      <c r="C50" t="s">
        <v>345</v>
      </c>
      <c r="D50" t="s">
        <v>167</v>
      </c>
      <c r="E50">
        <v>92</v>
      </c>
      <c r="F50">
        <v>92</v>
      </c>
      <c r="G50">
        <f>1</f>
        <v>1</v>
      </c>
      <c r="H50">
        <f>Table1[[#This Row],[Fatalities (air)]]/Table1[[#This Row],[Aboard]]</f>
        <v>1</v>
      </c>
      <c r="I50" t="s">
        <v>294</v>
      </c>
    </row>
    <row r="51" spans="1:9" x14ac:dyDescent="0.25">
      <c r="A51">
        <v>2001</v>
      </c>
      <c r="B51" t="s">
        <v>4</v>
      </c>
      <c r="C51" t="s">
        <v>52</v>
      </c>
      <c r="D51" t="s">
        <v>168</v>
      </c>
      <c r="E51">
        <v>3</v>
      </c>
      <c r="F51">
        <v>6</v>
      </c>
      <c r="G51">
        <f>1</f>
        <v>1</v>
      </c>
      <c r="H51">
        <f>Table1[[#This Row],[Fatalities (air)]]/Table1[[#This Row],[Aboard]]</f>
        <v>0.5</v>
      </c>
      <c r="I51" t="s">
        <v>294</v>
      </c>
    </row>
    <row r="52" spans="1:9" x14ac:dyDescent="0.25">
      <c r="A52">
        <v>2021</v>
      </c>
      <c r="B52" t="s">
        <v>6</v>
      </c>
      <c r="C52" t="s">
        <v>70</v>
      </c>
      <c r="D52" t="s">
        <v>169</v>
      </c>
      <c r="E52">
        <v>62</v>
      </c>
      <c r="F52">
        <v>62</v>
      </c>
      <c r="G52">
        <f>1</f>
        <v>1</v>
      </c>
      <c r="H52">
        <f>Table1[[#This Row],[Fatalities (air)]]/Table1[[#This Row],[Aboard]]</f>
        <v>1</v>
      </c>
      <c r="I52" t="s">
        <v>294</v>
      </c>
    </row>
    <row r="53" spans="1:9" x14ac:dyDescent="0.25">
      <c r="A53">
        <v>2002</v>
      </c>
      <c r="B53" t="s">
        <v>6</v>
      </c>
      <c r="C53" t="s">
        <v>104</v>
      </c>
      <c r="D53" t="s">
        <v>170</v>
      </c>
      <c r="E53">
        <v>1</v>
      </c>
      <c r="F53">
        <v>62</v>
      </c>
      <c r="G53">
        <f>1</f>
        <v>1</v>
      </c>
      <c r="H53">
        <f>Table1[[#This Row],[Fatalities (air)]]/Table1[[#This Row],[Aboard]]</f>
        <v>1.6129032258064516E-2</v>
      </c>
      <c r="I53" t="s">
        <v>294</v>
      </c>
    </row>
    <row r="54" spans="1:9" x14ac:dyDescent="0.25">
      <c r="A54">
        <v>2007</v>
      </c>
      <c r="B54" t="s">
        <v>6</v>
      </c>
      <c r="C54" t="s">
        <v>348</v>
      </c>
      <c r="D54" t="s">
        <v>171</v>
      </c>
      <c r="E54">
        <v>102</v>
      </c>
      <c r="F54">
        <v>102</v>
      </c>
      <c r="G54">
        <f>1</f>
        <v>1</v>
      </c>
      <c r="H54">
        <f>Table1[[#This Row],[Fatalities (air)]]/Table1[[#This Row],[Aboard]]</f>
        <v>1</v>
      </c>
      <c r="I54" t="s">
        <v>294</v>
      </c>
    </row>
    <row r="55" spans="1:9" x14ac:dyDescent="0.25">
      <c r="A55">
        <v>2001</v>
      </c>
      <c r="B55" t="s">
        <v>6</v>
      </c>
      <c r="C55" t="s">
        <v>343</v>
      </c>
      <c r="D55" t="s">
        <v>172</v>
      </c>
      <c r="E55">
        <v>9</v>
      </c>
      <c r="F55">
        <v>9</v>
      </c>
      <c r="G55">
        <f>1</f>
        <v>1</v>
      </c>
      <c r="H55">
        <f>Table1[[#This Row],[Fatalities (air)]]/Table1[[#This Row],[Aboard]]</f>
        <v>1</v>
      </c>
      <c r="I55" t="s">
        <v>294</v>
      </c>
    </row>
    <row r="56" spans="1:9" x14ac:dyDescent="0.25">
      <c r="A56">
        <v>2008</v>
      </c>
      <c r="B56" t="s">
        <v>6</v>
      </c>
      <c r="C56" t="s">
        <v>344</v>
      </c>
      <c r="D56" t="s">
        <v>173</v>
      </c>
      <c r="E56">
        <v>3</v>
      </c>
      <c r="F56">
        <v>3</v>
      </c>
      <c r="G56">
        <f>1</f>
        <v>1</v>
      </c>
      <c r="H56">
        <f>Table1[[#This Row],[Fatalities (air)]]/Table1[[#This Row],[Aboard]]</f>
        <v>1</v>
      </c>
      <c r="I56" t="s">
        <v>294</v>
      </c>
    </row>
    <row r="57" spans="1:9" x14ac:dyDescent="0.25">
      <c r="A57">
        <v>2003</v>
      </c>
      <c r="B57" t="s">
        <v>7</v>
      </c>
      <c r="C57" t="s">
        <v>53</v>
      </c>
      <c r="D57" t="s">
        <v>174</v>
      </c>
      <c r="E57">
        <v>3</v>
      </c>
      <c r="F57">
        <v>13</v>
      </c>
      <c r="G57">
        <f>1</f>
        <v>1</v>
      </c>
      <c r="H57">
        <f>Table1[[#This Row],[Fatalities (air)]]/Table1[[#This Row],[Aboard]]</f>
        <v>0.23076923076923078</v>
      </c>
      <c r="I57" t="s">
        <v>297</v>
      </c>
    </row>
    <row r="58" spans="1:9" x14ac:dyDescent="0.25">
      <c r="A58">
        <v>2023</v>
      </c>
      <c r="B58" t="s">
        <v>11</v>
      </c>
      <c r="C58" t="s">
        <v>37</v>
      </c>
      <c r="D58" t="s">
        <v>175</v>
      </c>
      <c r="E58">
        <v>72</v>
      </c>
      <c r="F58">
        <v>72</v>
      </c>
      <c r="G58">
        <f>1</f>
        <v>1</v>
      </c>
      <c r="H58">
        <f>Table1[[#This Row],[Fatalities (air)]]/Table1[[#This Row],[Aboard]]</f>
        <v>1</v>
      </c>
      <c r="I58" t="s">
        <v>297</v>
      </c>
    </row>
    <row r="59" spans="1:9" x14ac:dyDescent="0.25">
      <c r="A59">
        <v>2000</v>
      </c>
      <c r="B59" t="s">
        <v>12</v>
      </c>
      <c r="C59" t="s">
        <v>54</v>
      </c>
      <c r="D59" t="s">
        <v>176</v>
      </c>
      <c r="E59">
        <v>1</v>
      </c>
      <c r="F59">
        <v>16</v>
      </c>
      <c r="G59">
        <f>1</f>
        <v>1</v>
      </c>
      <c r="H59">
        <f>Table1[[#This Row],[Fatalities (air)]]/Table1[[#This Row],[Aboard]]</f>
        <v>6.25E-2</v>
      </c>
      <c r="I59" t="s">
        <v>297</v>
      </c>
    </row>
    <row r="60" spans="1:9" x14ac:dyDescent="0.25">
      <c r="A60">
        <v>2002</v>
      </c>
      <c r="B60" t="s">
        <v>8</v>
      </c>
      <c r="C60" t="s">
        <v>55</v>
      </c>
      <c r="D60" t="s">
        <v>177</v>
      </c>
      <c r="E60">
        <v>7</v>
      </c>
      <c r="F60">
        <v>7</v>
      </c>
      <c r="G60">
        <f>1</f>
        <v>1</v>
      </c>
      <c r="H60">
        <f>Table1[[#This Row],[Fatalities (air)]]/Table1[[#This Row],[Aboard]]</f>
        <v>1</v>
      </c>
      <c r="I60" t="s">
        <v>297</v>
      </c>
    </row>
    <row r="61" spans="1:9" x14ac:dyDescent="0.25">
      <c r="A61">
        <v>2003</v>
      </c>
      <c r="B61" t="s">
        <v>9</v>
      </c>
      <c r="C61" t="s">
        <v>342</v>
      </c>
      <c r="D61" t="s">
        <v>178</v>
      </c>
      <c r="E61">
        <v>46</v>
      </c>
      <c r="F61">
        <v>46</v>
      </c>
      <c r="G61">
        <f>1</f>
        <v>1</v>
      </c>
      <c r="H61">
        <f>Table1[[#This Row],[Fatalities (air)]]/Table1[[#This Row],[Aboard]]</f>
        <v>1</v>
      </c>
      <c r="I61" t="s">
        <v>294</v>
      </c>
    </row>
    <row r="62" spans="1:9" x14ac:dyDescent="0.25">
      <c r="A62">
        <v>2020</v>
      </c>
      <c r="B62" t="s">
        <v>10</v>
      </c>
      <c r="C62" t="s">
        <v>56</v>
      </c>
      <c r="D62" t="s">
        <v>179</v>
      </c>
      <c r="E62">
        <v>18</v>
      </c>
      <c r="F62">
        <v>18</v>
      </c>
      <c r="G62">
        <f>1</f>
        <v>1</v>
      </c>
      <c r="H62">
        <f>Table1[[#This Row],[Fatalities (air)]]/Table1[[#This Row],[Aboard]]</f>
        <v>1</v>
      </c>
      <c r="I62" t="s">
        <v>295</v>
      </c>
    </row>
    <row r="63" spans="1:9" x14ac:dyDescent="0.25">
      <c r="A63">
        <v>2011</v>
      </c>
      <c r="B63" t="s">
        <v>1</v>
      </c>
      <c r="C63" t="s">
        <v>18</v>
      </c>
      <c r="D63" t="s">
        <v>180</v>
      </c>
      <c r="E63">
        <v>9</v>
      </c>
      <c r="F63">
        <v>9</v>
      </c>
      <c r="G63">
        <f>1</f>
        <v>1</v>
      </c>
      <c r="H63">
        <f>Table1[[#This Row],[Fatalities (air)]]/Table1[[#This Row],[Aboard]]</f>
        <v>1</v>
      </c>
      <c r="I63" t="s">
        <v>295</v>
      </c>
    </row>
    <row r="64" spans="1:9" x14ac:dyDescent="0.25">
      <c r="A64">
        <v>2009</v>
      </c>
      <c r="B64" t="s">
        <v>1</v>
      </c>
      <c r="C64" t="s">
        <v>57</v>
      </c>
      <c r="D64" t="s">
        <v>181</v>
      </c>
      <c r="E64">
        <v>16</v>
      </c>
      <c r="F64">
        <v>21</v>
      </c>
      <c r="G64">
        <f>1</f>
        <v>1</v>
      </c>
      <c r="H64">
        <f>Table1[[#This Row],[Fatalities (air)]]/Table1[[#This Row],[Aboard]]</f>
        <v>0.76190476190476186</v>
      </c>
      <c r="I64" t="s">
        <v>295</v>
      </c>
    </row>
    <row r="65" spans="1:9" x14ac:dyDescent="0.25">
      <c r="A65">
        <v>2007</v>
      </c>
      <c r="B65" t="s">
        <v>3</v>
      </c>
      <c r="C65" t="s">
        <v>58</v>
      </c>
      <c r="D65" t="s">
        <v>182</v>
      </c>
      <c r="E65">
        <v>187</v>
      </c>
      <c r="F65">
        <v>187</v>
      </c>
      <c r="G65">
        <f>1</f>
        <v>1</v>
      </c>
      <c r="H65">
        <f>Table1[[#This Row],[Fatalities (air)]]/Table1[[#This Row],[Aboard]]</f>
        <v>1</v>
      </c>
      <c r="I65" t="s">
        <v>295</v>
      </c>
    </row>
    <row r="66" spans="1:9" x14ac:dyDescent="0.25">
      <c r="A66">
        <v>2011</v>
      </c>
      <c r="B66" t="s">
        <v>3</v>
      </c>
      <c r="C66" t="s">
        <v>59</v>
      </c>
      <c r="D66" t="s">
        <v>183</v>
      </c>
      <c r="E66">
        <v>16</v>
      </c>
      <c r="F66">
        <v>16</v>
      </c>
      <c r="G66">
        <f>1</f>
        <v>1</v>
      </c>
      <c r="H66">
        <f>Table1[[#This Row],[Fatalities (air)]]/Table1[[#This Row],[Aboard]]</f>
        <v>1</v>
      </c>
      <c r="I66" t="s">
        <v>295</v>
      </c>
    </row>
    <row r="67" spans="1:9" x14ac:dyDescent="0.25">
      <c r="A67">
        <v>2008</v>
      </c>
      <c r="B67" t="s">
        <v>4</v>
      </c>
      <c r="C67" t="s">
        <v>341</v>
      </c>
      <c r="D67" t="s">
        <v>184</v>
      </c>
      <c r="E67">
        <v>0</v>
      </c>
      <c r="F67">
        <v>8</v>
      </c>
      <c r="G67">
        <f>1</f>
        <v>1</v>
      </c>
      <c r="H67">
        <f>Table1[[#This Row],[Fatalities (air)]]/Table1[[#This Row],[Aboard]]</f>
        <v>0</v>
      </c>
      <c r="I67" t="s">
        <v>295</v>
      </c>
    </row>
    <row r="68" spans="1:9" x14ac:dyDescent="0.25">
      <c r="A68">
        <v>2015</v>
      </c>
      <c r="B68" t="s">
        <v>4</v>
      </c>
      <c r="C68" t="s">
        <v>340</v>
      </c>
      <c r="D68" t="s">
        <v>185</v>
      </c>
      <c r="E68">
        <v>11</v>
      </c>
      <c r="F68">
        <v>11</v>
      </c>
      <c r="G68">
        <f>1</f>
        <v>1</v>
      </c>
      <c r="H68">
        <f>Table1[[#This Row],[Fatalities (air)]]/Table1[[#This Row],[Aboard]]</f>
        <v>1</v>
      </c>
      <c r="I68" t="s">
        <v>295</v>
      </c>
    </row>
    <row r="69" spans="1:9" x14ac:dyDescent="0.25">
      <c r="A69">
        <v>2000</v>
      </c>
      <c r="B69" t="s">
        <v>4</v>
      </c>
      <c r="C69" t="s">
        <v>60</v>
      </c>
      <c r="D69" t="s">
        <v>186</v>
      </c>
      <c r="E69">
        <v>13</v>
      </c>
      <c r="F69">
        <v>19</v>
      </c>
      <c r="G69">
        <f>1</f>
        <v>1</v>
      </c>
      <c r="H69">
        <f>Table1[[#This Row],[Fatalities (air)]]/Table1[[#This Row],[Aboard]]</f>
        <v>0.68421052631578949</v>
      </c>
      <c r="I69" t="s">
        <v>295</v>
      </c>
    </row>
    <row r="70" spans="1:9" x14ac:dyDescent="0.25">
      <c r="A70">
        <v>2007</v>
      </c>
      <c r="B70" t="s">
        <v>13</v>
      </c>
      <c r="C70" t="s">
        <v>339</v>
      </c>
      <c r="D70" t="s">
        <v>187</v>
      </c>
      <c r="E70">
        <v>1</v>
      </c>
      <c r="F70">
        <v>9</v>
      </c>
      <c r="G70">
        <f>1</f>
        <v>1</v>
      </c>
      <c r="H70">
        <f>Table1[[#This Row],[Fatalities (air)]]/Table1[[#This Row],[Aboard]]</f>
        <v>0.1111111111111111</v>
      </c>
      <c r="I70" t="s">
        <v>295</v>
      </c>
    </row>
    <row r="71" spans="1:9" x14ac:dyDescent="0.25">
      <c r="A71">
        <v>2019</v>
      </c>
      <c r="B71" t="s">
        <v>5</v>
      </c>
      <c r="C71" t="s">
        <v>61</v>
      </c>
      <c r="D71" t="s">
        <v>188</v>
      </c>
      <c r="E71">
        <v>5</v>
      </c>
      <c r="F71">
        <v>5</v>
      </c>
      <c r="G71">
        <f>1</f>
        <v>1</v>
      </c>
      <c r="H71">
        <f>Table1[[#This Row],[Fatalities (air)]]/Table1[[#This Row],[Aboard]]</f>
        <v>1</v>
      </c>
      <c r="I71" t="s">
        <v>295</v>
      </c>
    </row>
    <row r="72" spans="1:9" x14ac:dyDescent="0.25">
      <c r="A72">
        <v>2000</v>
      </c>
      <c r="B72" t="s">
        <v>5</v>
      </c>
      <c r="C72" t="s">
        <v>62</v>
      </c>
      <c r="D72" t="s">
        <v>189</v>
      </c>
      <c r="E72">
        <v>55</v>
      </c>
      <c r="F72">
        <v>58</v>
      </c>
      <c r="G72">
        <f>1</f>
        <v>1</v>
      </c>
      <c r="H72">
        <f>Table1[[#This Row],[Fatalities (air)]]/Table1[[#This Row],[Aboard]]</f>
        <v>0.94827586206896552</v>
      </c>
      <c r="I72" t="s">
        <v>295</v>
      </c>
    </row>
    <row r="73" spans="1:9" x14ac:dyDescent="0.25">
      <c r="A73">
        <v>2002</v>
      </c>
      <c r="B73" t="s">
        <v>6</v>
      </c>
      <c r="C73" t="s">
        <v>338</v>
      </c>
      <c r="D73" t="s">
        <v>190</v>
      </c>
      <c r="E73">
        <v>10</v>
      </c>
      <c r="F73">
        <v>10</v>
      </c>
      <c r="G73">
        <f>1</f>
        <v>1</v>
      </c>
      <c r="H73">
        <f>Table1[[#This Row],[Fatalities (air)]]/Table1[[#This Row],[Aboard]]</f>
        <v>1</v>
      </c>
      <c r="I73" t="s">
        <v>295</v>
      </c>
    </row>
    <row r="74" spans="1:9" x14ac:dyDescent="0.25">
      <c r="A74">
        <v>2014</v>
      </c>
      <c r="B74" t="s">
        <v>7</v>
      </c>
      <c r="C74" t="s">
        <v>337</v>
      </c>
      <c r="D74" t="s">
        <v>191</v>
      </c>
      <c r="E74">
        <v>4</v>
      </c>
      <c r="F74">
        <v>4</v>
      </c>
      <c r="G74">
        <f>1</f>
        <v>1</v>
      </c>
      <c r="H74">
        <f>Table1[[#This Row],[Fatalities (air)]]/Table1[[#This Row],[Aboard]]</f>
        <v>1</v>
      </c>
      <c r="I74" t="s">
        <v>295</v>
      </c>
    </row>
    <row r="75" spans="1:9" x14ac:dyDescent="0.25">
      <c r="A75">
        <v>2003</v>
      </c>
      <c r="B75" t="s">
        <v>7</v>
      </c>
      <c r="C75" t="s">
        <v>63</v>
      </c>
      <c r="D75" t="s">
        <v>192</v>
      </c>
      <c r="E75">
        <v>14</v>
      </c>
      <c r="F75">
        <v>14</v>
      </c>
      <c r="G75">
        <f>1</f>
        <v>1</v>
      </c>
      <c r="H75">
        <f>Table1[[#This Row],[Fatalities (air)]]/Table1[[#This Row],[Aboard]]</f>
        <v>1</v>
      </c>
      <c r="I75" t="s">
        <v>296</v>
      </c>
    </row>
    <row r="76" spans="1:9" x14ac:dyDescent="0.25">
      <c r="A76">
        <v>2000</v>
      </c>
      <c r="B76" t="s">
        <v>11</v>
      </c>
      <c r="C76" t="s">
        <v>64</v>
      </c>
      <c r="D76" t="s">
        <v>193</v>
      </c>
      <c r="E76">
        <v>25</v>
      </c>
      <c r="F76">
        <v>25</v>
      </c>
      <c r="G76">
        <f>1</f>
        <v>1</v>
      </c>
      <c r="H76">
        <f>Table1[[#This Row],[Fatalities (air)]]/Table1[[#This Row],[Aboard]]</f>
        <v>1</v>
      </c>
      <c r="I76" t="s">
        <v>296</v>
      </c>
    </row>
    <row r="77" spans="1:9" x14ac:dyDescent="0.25">
      <c r="A77">
        <v>2002</v>
      </c>
      <c r="B77" t="s">
        <v>11</v>
      </c>
      <c r="C77" t="s">
        <v>65</v>
      </c>
      <c r="D77" t="s">
        <v>194</v>
      </c>
      <c r="E77">
        <v>4</v>
      </c>
      <c r="F77">
        <v>4</v>
      </c>
      <c r="G77">
        <f>1</f>
        <v>1</v>
      </c>
      <c r="H77">
        <f>Table1[[#This Row],[Fatalities (air)]]/Table1[[#This Row],[Aboard]]</f>
        <v>1</v>
      </c>
      <c r="I77" t="s">
        <v>296</v>
      </c>
    </row>
    <row r="78" spans="1:9" x14ac:dyDescent="0.25">
      <c r="A78">
        <v>2010</v>
      </c>
      <c r="B78" t="s">
        <v>8</v>
      </c>
      <c r="C78" t="s">
        <v>27</v>
      </c>
      <c r="D78" t="s">
        <v>195</v>
      </c>
      <c r="E78">
        <v>152</v>
      </c>
      <c r="F78">
        <v>152</v>
      </c>
      <c r="G78">
        <f>1</f>
        <v>1</v>
      </c>
      <c r="H78">
        <f>Table1[[#This Row],[Fatalities (air)]]/Table1[[#This Row],[Aboard]]</f>
        <v>1</v>
      </c>
      <c r="I78" t="s">
        <v>296</v>
      </c>
    </row>
    <row r="79" spans="1:9" x14ac:dyDescent="0.25">
      <c r="A79">
        <v>2006</v>
      </c>
      <c r="B79" t="s">
        <v>8</v>
      </c>
      <c r="C79" t="s">
        <v>66</v>
      </c>
      <c r="D79" t="s">
        <v>156</v>
      </c>
      <c r="E79">
        <v>45</v>
      </c>
      <c r="F79">
        <v>45</v>
      </c>
      <c r="G79">
        <f>1</f>
        <v>1</v>
      </c>
      <c r="H79">
        <f>Table1[[#This Row],[Fatalities (air)]]/Table1[[#This Row],[Aboard]]</f>
        <v>1</v>
      </c>
      <c r="I79" t="s">
        <v>296</v>
      </c>
    </row>
    <row r="80" spans="1:9" x14ac:dyDescent="0.25">
      <c r="A80">
        <v>2003</v>
      </c>
      <c r="B80" t="s">
        <v>10</v>
      </c>
      <c r="C80" t="s">
        <v>67</v>
      </c>
      <c r="D80" t="s">
        <v>196</v>
      </c>
      <c r="E80">
        <v>117</v>
      </c>
      <c r="F80">
        <v>117</v>
      </c>
      <c r="G80">
        <f>1</f>
        <v>1</v>
      </c>
      <c r="H80">
        <f>Table1[[#This Row],[Fatalities (air)]]/Table1[[#This Row],[Aboard]]</f>
        <v>1</v>
      </c>
      <c r="I80" t="s">
        <v>296</v>
      </c>
    </row>
    <row r="81" spans="1:9" x14ac:dyDescent="0.25">
      <c r="A81">
        <v>2002</v>
      </c>
      <c r="B81" t="s">
        <v>1</v>
      </c>
      <c r="C81" t="s">
        <v>333</v>
      </c>
      <c r="D81" t="s">
        <v>177</v>
      </c>
      <c r="E81">
        <v>3</v>
      </c>
      <c r="F81">
        <v>10</v>
      </c>
      <c r="G81">
        <f>1</f>
        <v>1</v>
      </c>
      <c r="H81">
        <f>Table1[[#This Row],[Fatalities (air)]]/Table1[[#This Row],[Aboard]]</f>
        <v>0.3</v>
      </c>
      <c r="I81" t="s">
        <v>296</v>
      </c>
    </row>
    <row r="82" spans="1:9" x14ac:dyDescent="0.25">
      <c r="A82">
        <v>2003</v>
      </c>
      <c r="B82" t="s">
        <v>3</v>
      </c>
      <c r="C82" t="s">
        <v>68</v>
      </c>
      <c r="D82" t="s">
        <v>197</v>
      </c>
      <c r="E82">
        <v>4</v>
      </c>
      <c r="F82">
        <v>4</v>
      </c>
      <c r="G82">
        <f>1</f>
        <v>1</v>
      </c>
      <c r="H82">
        <f>Table1[[#This Row],[Fatalities (air)]]/Table1[[#This Row],[Aboard]]</f>
        <v>1</v>
      </c>
      <c r="I82" t="s">
        <v>296</v>
      </c>
    </row>
    <row r="83" spans="1:9" x14ac:dyDescent="0.25">
      <c r="A83">
        <v>2009</v>
      </c>
      <c r="B83" t="s">
        <v>5</v>
      </c>
      <c r="C83" t="s">
        <v>69</v>
      </c>
      <c r="D83" t="s">
        <v>198</v>
      </c>
      <c r="E83">
        <v>13</v>
      </c>
      <c r="F83">
        <v>13</v>
      </c>
      <c r="G83">
        <f>1</f>
        <v>1</v>
      </c>
      <c r="H83">
        <f>Table1[[#This Row],[Fatalities (air)]]/Table1[[#This Row],[Aboard]]</f>
        <v>1</v>
      </c>
      <c r="I83" t="s">
        <v>296</v>
      </c>
    </row>
    <row r="84" spans="1:9" x14ac:dyDescent="0.25">
      <c r="A84">
        <v>2019</v>
      </c>
      <c r="B84" t="s">
        <v>5</v>
      </c>
      <c r="C84" t="s">
        <v>334</v>
      </c>
      <c r="D84" t="s">
        <v>198</v>
      </c>
      <c r="E84">
        <v>13</v>
      </c>
      <c r="F84">
        <v>13</v>
      </c>
      <c r="G84">
        <f>1</f>
        <v>1</v>
      </c>
      <c r="H84">
        <f>Table1[[#This Row],[Fatalities (air)]]/Table1[[#This Row],[Aboard]]</f>
        <v>1</v>
      </c>
      <c r="I84" t="s">
        <v>296</v>
      </c>
    </row>
    <row r="85" spans="1:9" x14ac:dyDescent="0.25">
      <c r="A85">
        <v>2008</v>
      </c>
      <c r="B85" t="s">
        <v>6</v>
      </c>
      <c r="C85" t="s">
        <v>335</v>
      </c>
      <c r="D85" t="s">
        <v>130</v>
      </c>
      <c r="E85">
        <v>18</v>
      </c>
      <c r="F85">
        <v>18</v>
      </c>
      <c r="G85">
        <f>1</f>
        <v>1</v>
      </c>
      <c r="H85">
        <f>Table1[[#This Row],[Fatalities (air)]]/Table1[[#This Row],[Aboard]]</f>
        <v>1</v>
      </c>
      <c r="I85" t="s">
        <v>296</v>
      </c>
    </row>
    <row r="86" spans="1:9" x14ac:dyDescent="0.25">
      <c r="A86">
        <v>2009</v>
      </c>
      <c r="B86" t="s">
        <v>6</v>
      </c>
      <c r="C86" t="s">
        <v>322</v>
      </c>
      <c r="D86" t="s">
        <v>128</v>
      </c>
      <c r="E86">
        <v>3</v>
      </c>
      <c r="F86">
        <v>3</v>
      </c>
      <c r="G86">
        <f>1</f>
        <v>1</v>
      </c>
      <c r="H86">
        <f>Table1[[#This Row],[Fatalities (air)]]/Table1[[#This Row],[Aboard]]</f>
        <v>1</v>
      </c>
      <c r="I86" t="s">
        <v>296</v>
      </c>
    </row>
    <row r="87" spans="1:9" x14ac:dyDescent="0.25">
      <c r="A87">
        <v>2012</v>
      </c>
      <c r="B87" t="s">
        <v>6</v>
      </c>
      <c r="C87" t="s">
        <v>70</v>
      </c>
      <c r="D87" t="s">
        <v>130</v>
      </c>
      <c r="E87">
        <v>7</v>
      </c>
      <c r="F87">
        <v>7</v>
      </c>
      <c r="G87">
        <f>1</f>
        <v>1</v>
      </c>
      <c r="H87">
        <f>Table1[[#This Row],[Fatalities (air)]]/Table1[[#This Row],[Aboard]]</f>
        <v>1</v>
      </c>
      <c r="I87" t="s">
        <v>296</v>
      </c>
    </row>
    <row r="88" spans="1:9" x14ac:dyDescent="0.25">
      <c r="A88">
        <v>2015</v>
      </c>
      <c r="B88" t="s">
        <v>6</v>
      </c>
      <c r="C88" t="s">
        <v>71</v>
      </c>
      <c r="D88" t="s">
        <v>130</v>
      </c>
      <c r="E88">
        <v>122</v>
      </c>
      <c r="F88">
        <v>122</v>
      </c>
      <c r="G88">
        <f>1</f>
        <v>1</v>
      </c>
      <c r="H88">
        <f>Table1[[#This Row],[Fatalities (air)]]/Table1[[#This Row],[Aboard]]</f>
        <v>1</v>
      </c>
      <c r="I88" t="s">
        <v>296</v>
      </c>
    </row>
    <row r="89" spans="1:9" x14ac:dyDescent="0.25">
      <c r="A89">
        <v>2001</v>
      </c>
      <c r="B89" t="s">
        <v>6</v>
      </c>
      <c r="C89" t="s">
        <v>72</v>
      </c>
      <c r="D89" t="s">
        <v>199</v>
      </c>
      <c r="E89">
        <v>1</v>
      </c>
      <c r="F89">
        <v>19</v>
      </c>
      <c r="G89">
        <f>1</f>
        <v>1</v>
      </c>
      <c r="H89">
        <f>Table1[[#This Row],[Fatalities (air)]]/Table1[[#This Row],[Aboard]]</f>
        <v>5.2631578947368418E-2</v>
      </c>
      <c r="I89" t="s">
        <v>296</v>
      </c>
    </row>
    <row r="90" spans="1:9" x14ac:dyDescent="0.25">
      <c r="A90">
        <v>2018</v>
      </c>
      <c r="B90" t="s">
        <v>7</v>
      </c>
      <c r="C90" t="s">
        <v>332</v>
      </c>
      <c r="D90" t="s">
        <v>200</v>
      </c>
      <c r="E90">
        <v>10</v>
      </c>
      <c r="F90">
        <v>10</v>
      </c>
      <c r="G90">
        <f>1</f>
        <v>1</v>
      </c>
      <c r="H90">
        <f>Table1[[#This Row],[Fatalities (air)]]/Table1[[#This Row],[Aboard]]</f>
        <v>1</v>
      </c>
      <c r="I90" t="s">
        <v>296</v>
      </c>
    </row>
    <row r="91" spans="1:9" x14ac:dyDescent="0.25">
      <c r="A91">
        <v>2006</v>
      </c>
      <c r="B91" t="s">
        <v>14</v>
      </c>
      <c r="C91" t="s">
        <v>73</v>
      </c>
      <c r="D91" t="s">
        <v>175</v>
      </c>
      <c r="E91">
        <v>9</v>
      </c>
      <c r="F91">
        <v>9</v>
      </c>
      <c r="G91">
        <f>1</f>
        <v>1</v>
      </c>
      <c r="H91">
        <f>Table1[[#This Row],[Fatalities (air)]]/Table1[[#This Row],[Aboard]]</f>
        <v>1</v>
      </c>
      <c r="I91" t="s">
        <v>296</v>
      </c>
    </row>
    <row r="92" spans="1:9" x14ac:dyDescent="0.25">
      <c r="A92">
        <v>2012</v>
      </c>
      <c r="B92" t="s">
        <v>12</v>
      </c>
      <c r="C92" t="s">
        <v>74</v>
      </c>
      <c r="D92" t="s">
        <v>201</v>
      </c>
      <c r="E92">
        <v>153</v>
      </c>
      <c r="F92">
        <v>153</v>
      </c>
      <c r="G92">
        <f>1</f>
        <v>1</v>
      </c>
      <c r="H92">
        <f>Table1[[#This Row],[Fatalities (air)]]/Table1[[#This Row],[Aboard]]</f>
        <v>1</v>
      </c>
      <c r="I92" t="s">
        <v>295</v>
      </c>
    </row>
    <row r="93" spans="1:9" x14ac:dyDescent="0.25">
      <c r="A93">
        <v>2008</v>
      </c>
      <c r="B93" t="s">
        <v>10</v>
      </c>
      <c r="C93" t="s">
        <v>75</v>
      </c>
      <c r="D93" t="s">
        <v>196</v>
      </c>
      <c r="E93">
        <v>32</v>
      </c>
      <c r="F93">
        <v>214</v>
      </c>
      <c r="G93">
        <f>1</f>
        <v>1</v>
      </c>
      <c r="H93">
        <f>Table1[[#This Row],[Fatalities (air)]]/Table1[[#This Row],[Aboard]]</f>
        <v>0.14953271028037382</v>
      </c>
      <c r="I93" t="s">
        <v>295</v>
      </c>
    </row>
    <row r="94" spans="1:9" x14ac:dyDescent="0.25">
      <c r="A94">
        <v>2008</v>
      </c>
      <c r="B94" t="s">
        <v>10</v>
      </c>
      <c r="C94" t="s">
        <v>336</v>
      </c>
      <c r="D94" t="s">
        <v>202</v>
      </c>
      <c r="E94">
        <v>7</v>
      </c>
      <c r="F94">
        <v>8</v>
      </c>
      <c r="G94">
        <f>1</f>
        <v>1</v>
      </c>
      <c r="H94">
        <f>Table1[[#This Row],[Fatalities (air)]]/Table1[[#This Row],[Aboard]]</f>
        <v>0.875</v>
      </c>
      <c r="I94" t="s">
        <v>295</v>
      </c>
    </row>
    <row r="95" spans="1:9" x14ac:dyDescent="0.25">
      <c r="A95">
        <v>2005</v>
      </c>
      <c r="B95" t="s">
        <v>10</v>
      </c>
      <c r="C95" t="s">
        <v>76</v>
      </c>
      <c r="D95" t="s">
        <v>203</v>
      </c>
      <c r="E95">
        <v>7</v>
      </c>
      <c r="F95">
        <v>42</v>
      </c>
      <c r="G95">
        <f>1</f>
        <v>1</v>
      </c>
      <c r="H95">
        <f>Table1[[#This Row],[Fatalities (air)]]/Table1[[#This Row],[Aboard]]</f>
        <v>0.16666666666666666</v>
      </c>
      <c r="I95" t="s">
        <v>295</v>
      </c>
    </row>
    <row r="96" spans="1:9" x14ac:dyDescent="0.25">
      <c r="A96">
        <v>2008</v>
      </c>
      <c r="B96" t="s">
        <v>10</v>
      </c>
      <c r="C96" t="s">
        <v>75</v>
      </c>
      <c r="D96" t="s">
        <v>204</v>
      </c>
      <c r="E96">
        <v>4</v>
      </c>
      <c r="F96">
        <v>4</v>
      </c>
      <c r="G96">
        <f>1</f>
        <v>1</v>
      </c>
      <c r="H96">
        <f>Table1[[#This Row],[Fatalities (air)]]/Table1[[#This Row],[Aboard]]</f>
        <v>1</v>
      </c>
      <c r="I96" t="s">
        <v>295</v>
      </c>
    </row>
    <row r="97" spans="1:9" x14ac:dyDescent="0.25">
      <c r="A97">
        <v>2012</v>
      </c>
      <c r="B97" t="s">
        <v>1</v>
      </c>
      <c r="C97" t="s">
        <v>77</v>
      </c>
      <c r="D97" t="s">
        <v>205</v>
      </c>
      <c r="E97">
        <v>12</v>
      </c>
      <c r="F97">
        <v>12</v>
      </c>
      <c r="G97">
        <f>1</f>
        <v>1</v>
      </c>
      <c r="H97">
        <f>Table1[[#This Row],[Fatalities (air)]]/Table1[[#This Row],[Aboard]]</f>
        <v>1</v>
      </c>
      <c r="I97" t="s">
        <v>295</v>
      </c>
    </row>
    <row r="98" spans="1:9" x14ac:dyDescent="0.25">
      <c r="A98">
        <v>2015</v>
      </c>
      <c r="B98" t="s">
        <v>2</v>
      </c>
      <c r="C98" t="s">
        <v>78</v>
      </c>
      <c r="D98" t="s">
        <v>206</v>
      </c>
      <c r="E98">
        <v>10</v>
      </c>
      <c r="F98">
        <v>10</v>
      </c>
      <c r="G98">
        <f>1</f>
        <v>1</v>
      </c>
      <c r="H98">
        <f>Table1[[#This Row],[Fatalities (air)]]/Table1[[#This Row],[Aboard]]</f>
        <v>1</v>
      </c>
      <c r="I98" t="s">
        <v>295</v>
      </c>
    </row>
    <row r="99" spans="1:9" x14ac:dyDescent="0.25">
      <c r="A99">
        <v>2016</v>
      </c>
      <c r="B99" t="s">
        <v>15</v>
      </c>
      <c r="C99" t="s">
        <v>79</v>
      </c>
      <c r="D99" t="s">
        <v>207</v>
      </c>
      <c r="E99">
        <v>3</v>
      </c>
      <c r="F99">
        <v>4</v>
      </c>
      <c r="G99">
        <f>1</f>
        <v>1</v>
      </c>
      <c r="H99">
        <f>Table1[[#This Row],[Fatalities (air)]]/Table1[[#This Row],[Aboard]]</f>
        <v>0.75</v>
      </c>
      <c r="I99" t="s">
        <v>295</v>
      </c>
    </row>
    <row r="100" spans="1:9" x14ac:dyDescent="0.25">
      <c r="A100">
        <v>2006</v>
      </c>
      <c r="B100" t="s">
        <v>3</v>
      </c>
      <c r="C100" t="s">
        <v>80</v>
      </c>
      <c r="D100" t="s">
        <v>208</v>
      </c>
      <c r="E100">
        <v>19</v>
      </c>
      <c r="F100">
        <v>19</v>
      </c>
      <c r="G100">
        <f>1</f>
        <v>1</v>
      </c>
      <c r="H100">
        <f>Table1[[#This Row],[Fatalities (air)]]/Table1[[#This Row],[Aboard]]</f>
        <v>1</v>
      </c>
      <c r="I100" t="s">
        <v>295</v>
      </c>
    </row>
    <row r="101" spans="1:9" x14ac:dyDescent="0.25">
      <c r="A101">
        <v>2007</v>
      </c>
      <c r="B101" t="s">
        <v>3</v>
      </c>
      <c r="C101" t="s">
        <v>81</v>
      </c>
      <c r="D101" t="s">
        <v>209</v>
      </c>
      <c r="E101">
        <v>4</v>
      </c>
      <c r="F101">
        <v>4</v>
      </c>
      <c r="G101">
        <f>1</f>
        <v>1</v>
      </c>
      <c r="H101">
        <f>Table1[[#This Row],[Fatalities (air)]]/Table1[[#This Row],[Aboard]]</f>
        <v>1</v>
      </c>
      <c r="I101" t="s">
        <v>297</v>
      </c>
    </row>
    <row r="102" spans="1:9" x14ac:dyDescent="0.25">
      <c r="A102">
        <v>2019</v>
      </c>
      <c r="B102" t="s">
        <v>4</v>
      </c>
      <c r="C102" t="s">
        <v>82</v>
      </c>
      <c r="D102" t="s">
        <v>210</v>
      </c>
      <c r="E102">
        <v>14</v>
      </c>
      <c r="F102">
        <v>14</v>
      </c>
      <c r="G102">
        <f>1</f>
        <v>1</v>
      </c>
      <c r="H102">
        <f>Table1[[#This Row],[Fatalities (air)]]/Table1[[#This Row],[Aboard]]</f>
        <v>1</v>
      </c>
      <c r="I102" t="s">
        <v>294</v>
      </c>
    </row>
    <row r="103" spans="1:9" x14ac:dyDescent="0.25">
      <c r="A103">
        <v>2019</v>
      </c>
      <c r="B103" t="s">
        <v>13</v>
      </c>
      <c r="C103" t="s">
        <v>83</v>
      </c>
      <c r="D103" t="s">
        <v>211</v>
      </c>
      <c r="E103">
        <v>157</v>
      </c>
      <c r="F103">
        <v>157</v>
      </c>
      <c r="G103">
        <f>1</f>
        <v>1</v>
      </c>
      <c r="H103">
        <f>Table1[[#This Row],[Fatalities (air)]]/Table1[[#This Row],[Aboard]]</f>
        <v>1</v>
      </c>
      <c r="I103" t="s">
        <v>294</v>
      </c>
    </row>
    <row r="104" spans="1:9" x14ac:dyDescent="0.25">
      <c r="A104">
        <v>2007</v>
      </c>
      <c r="B104" t="s">
        <v>6</v>
      </c>
      <c r="C104" t="s">
        <v>84</v>
      </c>
      <c r="D104" t="s">
        <v>170</v>
      </c>
      <c r="E104">
        <v>22</v>
      </c>
      <c r="F104">
        <v>140</v>
      </c>
      <c r="G104">
        <f>1</f>
        <v>1</v>
      </c>
      <c r="H104">
        <f>Table1[[#This Row],[Fatalities (air)]]/Table1[[#This Row],[Aboard]]</f>
        <v>0.15714285714285714</v>
      </c>
      <c r="I104" t="s">
        <v>294</v>
      </c>
    </row>
    <row r="105" spans="1:9" x14ac:dyDescent="0.25">
      <c r="A105">
        <v>2003</v>
      </c>
      <c r="B105" t="s">
        <v>6</v>
      </c>
      <c r="C105" t="s">
        <v>85</v>
      </c>
      <c r="D105" t="s">
        <v>212</v>
      </c>
      <c r="E105">
        <v>4</v>
      </c>
      <c r="F105">
        <v>16</v>
      </c>
      <c r="G105">
        <f>1</f>
        <v>1</v>
      </c>
      <c r="H105">
        <f>Table1[[#This Row],[Fatalities (air)]]/Table1[[#This Row],[Aboard]]</f>
        <v>0.25</v>
      </c>
      <c r="I105" t="s">
        <v>294</v>
      </c>
    </row>
    <row r="106" spans="1:9" x14ac:dyDescent="0.25">
      <c r="A106">
        <v>2001</v>
      </c>
      <c r="B106" t="s">
        <v>6</v>
      </c>
      <c r="C106" t="s">
        <v>86</v>
      </c>
      <c r="D106" t="s">
        <v>141</v>
      </c>
      <c r="E106">
        <v>3</v>
      </c>
      <c r="F106">
        <v>3</v>
      </c>
      <c r="G106">
        <f>1</f>
        <v>1</v>
      </c>
      <c r="H106">
        <f>Table1[[#This Row],[Fatalities (air)]]/Table1[[#This Row],[Aboard]]</f>
        <v>1</v>
      </c>
      <c r="I106" t="s">
        <v>294</v>
      </c>
    </row>
    <row r="107" spans="1:9" x14ac:dyDescent="0.25">
      <c r="A107">
        <v>2018</v>
      </c>
      <c r="B107" t="s">
        <v>11</v>
      </c>
      <c r="C107" t="s">
        <v>87</v>
      </c>
      <c r="D107" t="s">
        <v>213</v>
      </c>
      <c r="E107">
        <v>51</v>
      </c>
      <c r="F107">
        <v>71</v>
      </c>
      <c r="G107">
        <f>1</f>
        <v>1</v>
      </c>
      <c r="H107">
        <f>Table1[[#This Row],[Fatalities (air)]]/Table1[[#This Row],[Aboard]]</f>
        <v>0.71830985915492962</v>
      </c>
      <c r="I107" t="s">
        <v>294</v>
      </c>
    </row>
    <row r="108" spans="1:9" x14ac:dyDescent="0.25">
      <c r="A108">
        <v>2008</v>
      </c>
      <c r="B108" t="s">
        <v>11</v>
      </c>
      <c r="C108" t="s">
        <v>331</v>
      </c>
      <c r="D108" t="s">
        <v>214</v>
      </c>
      <c r="E108">
        <v>10</v>
      </c>
      <c r="F108">
        <v>10</v>
      </c>
      <c r="G108">
        <f>1</f>
        <v>1</v>
      </c>
      <c r="H108">
        <f>Table1[[#This Row],[Fatalities (air)]]/Table1[[#This Row],[Aboard]]</f>
        <v>1</v>
      </c>
      <c r="I108" t="s">
        <v>294</v>
      </c>
    </row>
    <row r="109" spans="1:9" x14ac:dyDescent="0.25">
      <c r="A109">
        <v>2021</v>
      </c>
      <c r="B109" t="s">
        <v>10</v>
      </c>
      <c r="C109" t="s">
        <v>88</v>
      </c>
      <c r="D109" t="s">
        <v>215</v>
      </c>
      <c r="E109">
        <v>10</v>
      </c>
      <c r="F109">
        <v>10</v>
      </c>
      <c r="G109">
        <f>1</f>
        <v>1</v>
      </c>
      <c r="H109">
        <f>Table1[[#This Row],[Fatalities (air)]]/Table1[[#This Row],[Aboard]]</f>
        <v>1</v>
      </c>
      <c r="I109" t="s">
        <v>294</v>
      </c>
    </row>
    <row r="110" spans="1:9" x14ac:dyDescent="0.25">
      <c r="A110">
        <v>2010</v>
      </c>
      <c r="B110" t="s">
        <v>1</v>
      </c>
      <c r="C110" t="s">
        <v>89</v>
      </c>
      <c r="D110" t="s">
        <v>216</v>
      </c>
      <c r="E110">
        <v>44</v>
      </c>
      <c r="F110">
        <v>44</v>
      </c>
      <c r="G110">
        <f>1</f>
        <v>1</v>
      </c>
      <c r="H110">
        <f>Table1[[#This Row],[Fatalities (air)]]/Table1[[#This Row],[Aboard]]</f>
        <v>1</v>
      </c>
      <c r="I110" t="s">
        <v>294</v>
      </c>
    </row>
    <row r="111" spans="1:9" x14ac:dyDescent="0.25">
      <c r="A111">
        <v>2005</v>
      </c>
      <c r="B111" t="s">
        <v>2</v>
      </c>
      <c r="C111" t="s">
        <v>90</v>
      </c>
      <c r="D111" t="s">
        <v>217</v>
      </c>
      <c r="E111">
        <v>10</v>
      </c>
      <c r="F111">
        <v>10</v>
      </c>
      <c r="G111">
        <f>1</f>
        <v>1</v>
      </c>
      <c r="H111">
        <f>Table1[[#This Row],[Fatalities (air)]]/Table1[[#This Row],[Aboard]]</f>
        <v>1</v>
      </c>
      <c r="I111" t="s">
        <v>294</v>
      </c>
    </row>
    <row r="112" spans="1:9" x14ac:dyDescent="0.25">
      <c r="A112">
        <v>2001</v>
      </c>
      <c r="B112" t="s">
        <v>2</v>
      </c>
      <c r="C112" t="s">
        <v>91</v>
      </c>
      <c r="D112" t="s">
        <v>218</v>
      </c>
      <c r="E112">
        <v>5</v>
      </c>
      <c r="F112">
        <v>5</v>
      </c>
      <c r="G112">
        <f>1</f>
        <v>1</v>
      </c>
      <c r="H112">
        <f>Table1[[#This Row],[Fatalities (air)]]/Table1[[#This Row],[Aboard]]</f>
        <v>1</v>
      </c>
      <c r="I112" t="s">
        <v>294</v>
      </c>
    </row>
    <row r="113" spans="1:9" x14ac:dyDescent="0.25">
      <c r="A113">
        <v>2011</v>
      </c>
      <c r="B113" t="s">
        <v>2</v>
      </c>
      <c r="C113" t="s">
        <v>330</v>
      </c>
      <c r="D113" t="s">
        <v>219</v>
      </c>
      <c r="E113">
        <v>22</v>
      </c>
      <c r="F113">
        <v>22</v>
      </c>
      <c r="G113">
        <f>1</f>
        <v>1</v>
      </c>
      <c r="H113">
        <f>Table1[[#This Row],[Fatalities (air)]]/Table1[[#This Row],[Aboard]]</f>
        <v>1</v>
      </c>
      <c r="I113" t="s">
        <v>294</v>
      </c>
    </row>
    <row r="114" spans="1:9" x14ac:dyDescent="0.25">
      <c r="A114">
        <v>2004</v>
      </c>
      <c r="B114" t="s">
        <v>3</v>
      </c>
      <c r="C114" t="s">
        <v>329</v>
      </c>
      <c r="D114" t="s">
        <v>220</v>
      </c>
      <c r="E114">
        <v>33</v>
      </c>
      <c r="F114">
        <v>33</v>
      </c>
      <c r="G114">
        <f>1</f>
        <v>1</v>
      </c>
      <c r="H114">
        <f>Table1[[#This Row],[Fatalities (air)]]/Table1[[#This Row],[Aboard]]</f>
        <v>1</v>
      </c>
      <c r="I114" t="s">
        <v>294</v>
      </c>
    </row>
    <row r="115" spans="1:9" x14ac:dyDescent="0.25">
      <c r="A115">
        <v>2014</v>
      </c>
      <c r="B115" t="s">
        <v>4</v>
      </c>
      <c r="C115" t="s">
        <v>321</v>
      </c>
      <c r="D115" t="s">
        <v>221</v>
      </c>
      <c r="E115">
        <v>6</v>
      </c>
      <c r="F115">
        <v>6</v>
      </c>
      <c r="G115">
        <f>1</f>
        <v>1</v>
      </c>
      <c r="H115">
        <f>Table1[[#This Row],[Fatalities (air)]]/Table1[[#This Row],[Aboard]]</f>
        <v>1</v>
      </c>
      <c r="I115" t="s">
        <v>294</v>
      </c>
    </row>
    <row r="116" spans="1:9" x14ac:dyDescent="0.25">
      <c r="A116">
        <v>2004</v>
      </c>
      <c r="B116" t="s">
        <v>4</v>
      </c>
      <c r="C116" t="s">
        <v>92</v>
      </c>
      <c r="D116" t="s">
        <v>222</v>
      </c>
      <c r="E116">
        <v>3</v>
      </c>
      <c r="F116">
        <v>7</v>
      </c>
      <c r="G116">
        <f>1</f>
        <v>1</v>
      </c>
      <c r="H116">
        <f>Table1[[#This Row],[Fatalities (air)]]/Table1[[#This Row],[Aboard]]</f>
        <v>0.42857142857142855</v>
      </c>
      <c r="I116" t="s">
        <v>295</v>
      </c>
    </row>
    <row r="117" spans="1:9" x14ac:dyDescent="0.25">
      <c r="A117">
        <v>2010</v>
      </c>
      <c r="B117" t="s">
        <v>5</v>
      </c>
      <c r="C117" t="s">
        <v>93</v>
      </c>
      <c r="D117" t="s">
        <v>223</v>
      </c>
      <c r="E117">
        <v>159</v>
      </c>
      <c r="F117">
        <v>166</v>
      </c>
      <c r="G117">
        <f>1</f>
        <v>1</v>
      </c>
      <c r="H117">
        <f>Table1[[#This Row],[Fatalities (air)]]/Table1[[#This Row],[Aboard]]</f>
        <v>0.95783132530120485</v>
      </c>
      <c r="I117" t="s">
        <v>295</v>
      </c>
    </row>
    <row r="118" spans="1:9" x14ac:dyDescent="0.25">
      <c r="A118">
        <v>2002</v>
      </c>
      <c r="B118" t="s">
        <v>6</v>
      </c>
      <c r="C118" t="s">
        <v>320</v>
      </c>
      <c r="D118" t="s">
        <v>224</v>
      </c>
      <c r="E118">
        <v>6</v>
      </c>
      <c r="F118">
        <v>6</v>
      </c>
      <c r="G118">
        <f>1</f>
        <v>1</v>
      </c>
      <c r="H118">
        <f>Table1[[#This Row],[Fatalities (air)]]/Table1[[#This Row],[Aboard]]</f>
        <v>1</v>
      </c>
      <c r="I118" t="s">
        <v>295</v>
      </c>
    </row>
    <row r="119" spans="1:9" x14ac:dyDescent="0.25">
      <c r="A119">
        <v>2009</v>
      </c>
      <c r="B119" t="s">
        <v>6</v>
      </c>
      <c r="C119" t="s">
        <v>319</v>
      </c>
      <c r="D119" t="s">
        <v>130</v>
      </c>
      <c r="E119">
        <v>112</v>
      </c>
      <c r="F119">
        <v>112</v>
      </c>
      <c r="G119">
        <f>1</f>
        <v>1</v>
      </c>
      <c r="H119">
        <f>Table1[[#This Row],[Fatalities (air)]]/Table1[[#This Row],[Aboard]]</f>
        <v>1</v>
      </c>
      <c r="I119" t="s">
        <v>295</v>
      </c>
    </row>
    <row r="120" spans="1:9" x14ac:dyDescent="0.25">
      <c r="A120">
        <v>2012</v>
      </c>
      <c r="B120" t="s">
        <v>6</v>
      </c>
      <c r="C120" t="s">
        <v>318</v>
      </c>
      <c r="D120" t="s">
        <v>225</v>
      </c>
      <c r="E120">
        <v>45</v>
      </c>
      <c r="F120">
        <v>45</v>
      </c>
      <c r="G120">
        <f>1</f>
        <v>1</v>
      </c>
      <c r="H120">
        <f>Table1[[#This Row],[Fatalities (air)]]/Table1[[#This Row],[Aboard]]</f>
        <v>1</v>
      </c>
      <c r="I120" t="s">
        <v>295</v>
      </c>
    </row>
    <row r="121" spans="1:9" x14ac:dyDescent="0.25">
      <c r="A121">
        <v>2011</v>
      </c>
      <c r="B121" t="s">
        <v>6</v>
      </c>
      <c r="C121" t="s">
        <v>328</v>
      </c>
      <c r="D121" t="s">
        <v>141</v>
      </c>
      <c r="E121">
        <v>27</v>
      </c>
      <c r="F121">
        <v>27</v>
      </c>
      <c r="G121">
        <f>1</f>
        <v>1</v>
      </c>
      <c r="H121">
        <f>Table1[[#This Row],[Fatalities (air)]]/Table1[[#This Row],[Aboard]]</f>
        <v>1</v>
      </c>
      <c r="I121" t="s">
        <v>297</v>
      </c>
    </row>
    <row r="122" spans="1:9" x14ac:dyDescent="0.25">
      <c r="A122">
        <v>2004</v>
      </c>
      <c r="B122" t="s">
        <v>7</v>
      </c>
      <c r="C122" t="s">
        <v>94</v>
      </c>
      <c r="D122" t="s">
        <v>226</v>
      </c>
      <c r="E122">
        <v>2</v>
      </c>
      <c r="F122">
        <v>2</v>
      </c>
      <c r="G122">
        <f>1</f>
        <v>1</v>
      </c>
      <c r="H122">
        <f>Table1[[#This Row],[Fatalities (air)]]/Table1[[#This Row],[Aboard]]</f>
        <v>1</v>
      </c>
      <c r="I122" t="s">
        <v>294</v>
      </c>
    </row>
    <row r="123" spans="1:9" x14ac:dyDescent="0.25">
      <c r="A123">
        <v>2004</v>
      </c>
      <c r="B123" t="s">
        <v>11</v>
      </c>
      <c r="C123" t="s">
        <v>112</v>
      </c>
      <c r="D123" t="s">
        <v>175</v>
      </c>
      <c r="E123">
        <v>3</v>
      </c>
      <c r="F123">
        <v>3</v>
      </c>
      <c r="G123">
        <f>1</f>
        <v>1</v>
      </c>
      <c r="H123">
        <f>Table1[[#This Row],[Fatalities (air)]]/Table1[[#This Row],[Aboard]]</f>
        <v>1</v>
      </c>
      <c r="I123" t="s">
        <v>294</v>
      </c>
    </row>
    <row r="124" spans="1:9" x14ac:dyDescent="0.25">
      <c r="A124">
        <v>2012</v>
      </c>
      <c r="B124" t="s">
        <v>11</v>
      </c>
      <c r="C124" t="s">
        <v>95</v>
      </c>
      <c r="D124" t="s">
        <v>144</v>
      </c>
      <c r="E124">
        <v>15</v>
      </c>
      <c r="F124">
        <v>21</v>
      </c>
      <c r="G124">
        <f>1</f>
        <v>1</v>
      </c>
      <c r="H124">
        <f>Table1[[#This Row],[Fatalities (air)]]/Table1[[#This Row],[Aboard]]</f>
        <v>0.7142857142857143</v>
      </c>
      <c r="I124" t="s">
        <v>294</v>
      </c>
    </row>
    <row r="125" spans="1:9" x14ac:dyDescent="0.25">
      <c r="A125">
        <v>2017</v>
      </c>
      <c r="B125" t="s">
        <v>11</v>
      </c>
      <c r="C125" t="s">
        <v>96</v>
      </c>
      <c r="D125" t="s">
        <v>227</v>
      </c>
      <c r="E125">
        <v>2</v>
      </c>
      <c r="F125">
        <v>3</v>
      </c>
      <c r="G125">
        <f>1</f>
        <v>1</v>
      </c>
      <c r="H125">
        <f>Table1[[#This Row],[Fatalities (air)]]/Table1[[#This Row],[Aboard]]</f>
        <v>0.66666666666666663</v>
      </c>
      <c r="I125" t="s">
        <v>294</v>
      </c>
    </row>
    <row r="126" spans="1:9" x14ac:dyDescent="0.25">
      <c r="A126">
        <v>2002</v>
      </c>
      <c r="B126" t="s">
        <v>12</v>
      </c>
      <c r="C126" t="s">
        <v>97</v>
      </c>
      <c r="D126" t="s">
        <v>228</v>
      </c>
      <c r="E126">
        <v>74</v>
      </c>
      <c r="F126">
        <v>77</v>
      </c>
      <c r="G126">
        <f>1</f>
        <v>1</v>
      </c>
      <c r="H126">
        <f>Table1[[#This Row],[Fatalities (air)]]/Table1[[#This Row],[Aboard]]</f>
        <v>0.96103896103896103</v>
      </c>
      <c r="I126" t="s">
        <v>294</v>
      </c>
    </row>
    <row r="127" spans="1:9" x14ac:dyDescent="0.25">
      <c r="A127">
        <v>2021</v>
      </c>
      <c r="B127" t="s">
        <v>12</v>
      </c>
      <c r="C127" t="s">
        <v>317</v>
      </c>
      <c r="D127" t="s">
        <v>229</v>
      </c>
      <c r="E127">
        <v>11</v>
      </c>
      <c r="F127">
        <v>11</v>
      </c>
      <c r="G127">
        <f>1</f>
        <v>1</v>
      </c>
      <c r="H127">
        <f>Table1[[#This Row],[Fatalities (air)]]/Table1[[#This Row],[Aboard]]</f>
        <v>1</v>
      </c>
      <c r="I127" t="s">
        <v>294</v>
      </c>
    </row>
    <row r="128" spans="1:9" x14ac:dyDescent="0.25">
      <c r="A128">
        <v>2002</v>
      </c>
      <c r="B128" t="s">
        <v>12</v>
      </c>
      <c r="C128" t="s">
        <v>316</v>
      </c>
      <c r="D128" t="s">
        <v>230</v>
      </c>
      <c r="E128">
        <v>5</v>
      </c>
      <c r="F128">
        <v>5</v>
      </c>
      <c r="G128">
        <f>1</f>
        <v>1</v>
      </c>
      <c r="H128">
        <f>Table1[[#This Row],[Fatalities (air)]]/Table1[[#This Row],[Aboard]]</f>
        <v>1</v>
      </c>
      <c r="I128" t="s">
        <v>295</v>
      </c>
    </row>
    <row r="129" spans="1:9" x14ac:dyDescent="0.25">
      <c r="A129">
        <v>2020</v>
      </c>
      <c r="B129" t="s">
        <v>8</v>
      </c>
      <c r="C129" t="s">
        <v>98</v>
      </c>
      <c r="D129" t="s">
        <v>231</v>
      </c>
      <c r="E129">
        <v>97</v>
      </c>
      <c r="F129">
        <v>99</v>
      </c>
      <c r="G129">
        <f>1</f>
        <v>1</v>
      </c>
      <c r="H129">
        <f>Table1[[#This Row],[Fatalities (air)]]/Table1[[#This Row],[Aboard]]</f>
        <v>0.97979797979797978</v>
      </c>
      <c r="I129" t="s">
        <v>295</v>
      </c>
    </row>
    <row r="130" spans="1:9" x14ac:dyDescent="0.25">
      <c r="A130">
        <v>2007</v>
      </c>
      <c r="B130" t="s">
        <v>9</v>
      </c>
      <c r="C130" t="s">
        <v>315</v>
      </c>
      <c r="D130" t="s">
        <v>232</v>
      </c>
      <c r="E130">
        <v>13</v>
      </c>
      <c r="F130">
        <v>20</v>
      </c>
      <c r="G130">
        <f>1</f>
        <v>1</v>
      </c>
      <c r="H130">
        <f>Table1[[#This Row],[Fatalities (air)]]/Table1[[#This Row],[Aboard]]</f>
        <v>0.65</v>
      </c>
      <c r="I130" t="s">
        <v>295</v>
      </c>
    </row>
    <row r="131" spans="1:9" x14ac:dyDescent="0.25">
      <c r="A131">
        <v>2004</v>
      </c>
      <c r="B131" t="s">
        <v>10</v>
      </c>
      <c r="C131" t="s">
        <v>99</v>
      </c>
      <c r="D131" t="s">
        <v>233</v>
      </c>
      <c r="E131">
        <v>7</v>
      </c>
      <c r="F131">
        <v>7</v>
      </c>
      <c r="G131">
        <f>1</f>
        <v>1</v>
      </c>
      <c r="H131">
        <f>Table1[[#This Row],[Fatalities (air)]]/Table1[[#This Row],[Aboard]]</f>
        <v>1</v>
      </c>
      <c r="I131" t="s">
        <v>295</v>
      </c>
    </row>
    <row r="132" spans="1:9" x14ac:dyDescent="0.25">
      <c r="A132">
        <v>2004</v>
      </c>
      <c r="B132" t="s">
        <v>10</v>
      </c>
      <c r="C132" t="s">
        <v>100</v>
      </c>
      <c r="D132" t="s">
        <v>234</v>
      </c>
      <c r="E132">
        <v>6</v>
      </c>
      <c r="F132">
        <v>10</v>
      </c>
      <c r="G132">
        <f>1</f>
        <v>1</v>
      </c>
      <c r="H132">
        <f>Table1[[#This Row],[Fatalities (air)]]/Table1[[#This Row],[Aboard]]</f>
        <v>0.6</v>
      </c>
      <c r="I132" t="s">
        <v>295</v>
      </c>
    </row>
    <row r="133" spans="1:9" x14ac:dyDescent="0.25">
      <c r="A133">
        <v>2004</v>
      </c>
      <c r="B133" t="s">
        <v>1</v>
      </c>
      <c r="C133" t="s">
        <v>314</v>
      </c>
      <c r="D133" t="s">
        <v>235</v>
      </c>
      <c r="E133">
        <v>6</v>
      </c>
      <c r="F133">
        <v>6</v>
      </c>
      <c r="G133">
        <f>1</f>
        <v>1</v>
      </c>
      <c r="H133">
        <f>Table1[[#This Row],[Fatalities (air)]]/Table1[[#This Row],[Aboard]]</f>
        <v>1</v>
      </c>
      <c r="I133" t="s">
        <v>295</v>
      </c>
    </row>
    <row r="134" spans="1:9" x14ac:dyDescent="0.25">
      <c r="A134">
        <v>2016</v>
      </c>
      <c r="B134" t="s">
        <v>4</v>
      </c>
      <c r="C134" t="s">
        <v>313</v>
      </c>
      <c r="D134" t="s">
        <v>236</v>
      </c>
      <c r="E134">
        <v>71</v>
      </c>
      <c r="F134">
        <v>77</v>
      </c>
      <c r="G134">
        <f>1</f>
        <v>1</v>
      </c>
      <c r="H134">
        <f>Table1[[#This Row],[Fatalities (air)]]/Table1[[#This Row],[Aboard]]</f>
        <v>0.92207792207792205</v>
      </c>
      <c r="I134" t="s">
        <v>295</v>
      </c>
    </row>
    <row r="135" spans="1:9" x14ac:dyDescent="0.25">
      <c r="A135">
        <v>2006</v>
      </c>
      <c r="B135" t="s">
        <v>4</v>
      </c>
      <c r="C135" t="s">
        <v>312</v>
      </c>
      <c r="D135" t="s">
        <v>150</v>
      </c>
      <c r="E135">
        <v>5</v>
      </c>
      <c r="F135">
        <v>5</v>
      </c>
      <c r="G135">
        <f>1</f>
        <v>1</v>
      </c>
      <c r="H135">
        <f>Table1[[#This Row],[Fatalities (air)]]/Table1[[#This Row],[Aboard]]</f>
        <v>1</v>
      </c>
      <c r="I135" t="s">
        <v>295</v>
      </c>
    </row>
    <row r="136" spans="1:9" x14ac:dyDescent="0.25">
      <c r="A136">
        <v>2022</v>
      </c>
      <c r="B136" t="s">
        <v>4</v>
      </c>
      <c r="C136" t="s">
        <v>101</v>
      </c>
      <c r="D136" t="s">
        <v>237</v>
      </c>
      <c r="E136">
        <v>8</v>
      </c>
      <c r="F136">
        <v>8</v>
      </c>
      <c r="G136">
        <f>1</f>
        <v>1</v>
      </c>
      <c r="H136">
        <f>Table1[[#This Row],[Fatalities (air)]]/Table1[[#This Row],[Aboard]]</f>
        <v>1</v>
      </c>
      <c r="I136" t="s">
        <v>295</v>
      </c>
    </row>
    <row r="137" spans="1:9" x14ac:dyDescent="0.25">
      <c r="A137">
        <v>2002</v>
      </c>
      <c r="B137" t="s">
        <v>6</v>
      </c>
      <c r="C137" t="s">
        <v>102</v>
      </c>
      <c r="D137" t="s">
        <v>238</v>
      </c>
      <c r="E137">
        <v>7</v>
      </c>
      <c r="F137">
        <v>10</v>
      </c>
      <c r="G137">
        <f>1</f>
        <v>1</v>
      </c>
      <c r="H137">
        <f>Table1[[#This Row],[Fatalities (air)]]/Table1[[#This Row],[Aboard]]</f>
        <v>0.7</v>
      </c>
      <c r="I137" t="s">
        <v>295</v>
      </c>
    </row>
    <row r="138" spans="1:9" x14ac:dyDescent="0.25">
      <c r="A138">
        <v>2006</v>
      </c>
      <c r="B138" t="s">
        <v>6</v>
      </c>
      <c r="C138" t="s">
        <v>103</v>
      </c>
      <c r="D138" t="s">
        <v>224</v>
      </c>
      <c r="E138">
        <v>12</v>
      </c>
      <c r="F138">
        <v>12</v>
      </c>
      <c r="G138">
        <f>1</f>
        <v>1</v>
      </c>
      <c r="H138">
        <f>Table1[[#This Row],[Fatalities (air)]]/Table1[[#This Row],[Aboard]]</f>
        <v>1</v>
      </c>
      <c r="I138" t="s">
        <v>295</v>
      </c>
    </row>
    <row r="139" spans="1:9" x14ac:dyDescent="0.25">
      <c r="A139">
        <v>2004</v>
      </c>
      <c r="B139" t="s">
        <v>6</v>
      </c>
      <c r="C139" t="s">
        <v>104</v>
      </c>
      <c r="D139" t="s">
        <v>127</v>
      </c>
      <c r="E139">
        <v>25</v>
      </c>
      <c r="F139">
        <v>163</v>
      </c>
      <c r="G139">
        <f>1</f>
        <v>1</v>
      </c>
      <c r="H139">
        <f>Table1[[#This Row],[Fatalities (air)]]/Table1[[#This Row],[Aboard]]</f>
        <v>0.15337423312883436</v>
      </c>
      <c r="I139" t="s">
        <v>295</v>
      </c>
    </row>
    <row r="140" spans="1:9" x14ac:dyDescent="0.25">
      <c r="A140">
        <v>2002</v>
      </c>
      <c r="B140" t="s">
        <v>7</v>
      </c>
      <c r="C140" t="s">
        <v>105</v>
      </c>
      <c r="D140" t="s">
        <v>239</v>
      </c>
      <c r="E140">
        <v>1</v>
      </c>
      <c r="F140">
        <v>20</v>
      </c>
      <c r="G140">
        <f>1</f>
        <v>1</v>
      </c>
      <c r="H140">
        <f>Table1[[#This Row],[Fatalities (air)]]/Table1[[#This Row],[Aboard]]</f>
        <v>0.05</v>
      </c>
      <c r="I140" t="s">
        <v>295</v>
      </c>
    </row>
    <row r="141" spans="1:9" x14ac:dyDescent="0.25">
      <c r="A141">
        <v>2001</v>
      </c>
      <c r="B141" t="s">
        <v>12</v>
      </c>
      <c r="C141" t="s">
        <v>106</v>
      </c>
      <c r="D141" t="s">
        <v>240</v>
      </c>
      <c r="E141">
        <v>1</v>
      </c>
      <c r="F141">
        <v>13</v>
      </c>
      <c r="G141">
        <f>1</f>
        <v>1</v>
      </c>
      <c r="H141">
        <f>Table1[[#This Row],[Fatalities (air)]]/Table1[[#This Row],[Aboard]]</f>
        <v>7.6923076923076927E-2</v>
      </c>
      <c r="I141" t="s">
        <v>295</v>
      </c>
    </row>
    <row r="142" spans="1:9" x14ac:dyDescent="0.25">
      <c r="A142">
        <v>2010</v>
      </c>
      <c r="B142" t="s">
        <v>8</v>
      </c>
      <c r="C142" t="s">
        <v>98</v>
      </c>
      <c r="D142" t="s">
        <v>241</v>
      </c>
      <c r="E142">
        <v>21</v>
      </c>
      <c r="F142">
        <v>21</v>
      </c>
      <c r="G142">
        <f>1</f>
        <v>1</v>
      </c>
      <c r="H142">
        <f>Table1[[#This Row],[Fatalities (air)]]/Table1[[#This Row],[Aboard]]</f>
        <v>1</v>
      </c>
      <c r="I142" t="s">
        <v>296</v>
      </c>
    </row>
    <row r="143" spans="1:9" x14ac:dyDescent="0.25">
      <c r="A143">
        <v>2010</v>
      </c>
      <c r="B143" t="s">
        <v>8</v>
      </c>
      <c r="C143" t="s">
        <v>98</v>
      </c>
      <c r="D143" t="s">
        <v>242</v>
      </c>
      <c r="E143">
        <v>8</v>
      </c>
      <c r="F143">
        <v>8</v>
      </c>
      <c r="G143">
        <f>1</f>
        <v>1</v>
      </c>
      <c r="H143">
        <f>Table1[[#This Row],[Fatalities (air)]]/Table1[[#This Row],[Aboard]]</f>
        <v>1</v>
      </c>
      <c r="I143" t="s">
        <v>296</v>
      </c>
    </row>
    <row r="144" spans="1:9" x14ac:dyDescent="0.25">
      <c r="A144">
        <v>2022</v>
      </c>
      <c r="B144" t="s">
        <v>9</v>
      </c>
      <c r="C144" t="s">
        <v>107</v>
      </c>
      <c r="D144" t="s">
        <v>243</v>
      </c>
      <c r="E144">
        <v>0</v>
      </c>
      <c r="F144">
        <v>108</v>
      </c>
      <c r="G144">
        <f>1</f>
        <v>1</v>
      </c>
      <c r="H144">
        <f>Table1[[#This Row],[Fatalities (air)]]/Table1[[#This Row],[Aboard]]</f>
        <v>0</v>
      </c>
      <c r="I144" t="s">
        <v>296</v>
      </c>
    </row>
    <row r="145" spans="1:9" x14ac:dyDescent="0.25">
      <c r="A145">
        <v>2007</v>
      </c>
      <c r="B145" t="s">
        <v>10</v>
      </c>
      <c r="C145" t="s">
        <v>75</v>
      </c>
      <c r="D145" t="s">
        <v>202</v>
      </c>
      <c r="E145">
        <v>0</v>
      </c>
      <c r="F145">
        <v>4</v>
      </c>
      <c r="G145">
        <f>1</f>
        <v>1</v>
      </c>
      <c r="H145">
        <f>Table1[[#This Row],[Fatalities (air)]]/Table1[[#This Row],[Aboard]]</f>
        <v>0</v>
      </c>
      <c r="I145" t="s">
        <v>296</v>
      </c>
    </row>
    <row r="146" spans="1:9" x14ac:dyDescent="0.25">
      <c r="A146">
        <v>2015</v>
      </c>
      <c r="B146" t="s">
        <v>1</v>
      </c>
      <c r="C146" t="s">
        <v>108</v>
      </c>
      <c r="D146" t="s">
        <v>135</v>
      </c>
      <c r="E146">
        <v>11</v>
      </c>
      <c r="F146">
        <v>11</v>
      </c>
      <c r="G146">
        <f>1</f>
        <v>1</v>
      </c>
      <c r="H146">
        <f>Table1[[#This Row],[Fatalities (air)]]/Table1[[#This Row],[Aboard]]</f>
        <v>1</v>
      </c>
      <c r="I146" t="s">
        <v>296</v>
      </c>
    </row>
    <row r="147" spans="1:9" x14ac:dyDescent="0.25">
      <c r="A147">
        <v>2010</v>
      </c>
      <c r="B147" t="s">
        <v>1</v>
      </c>
      <c r="C147" t="s">
        <v>77</v>
      </c>
      <c r="D147" t="s">
        <v>121</v>
      </c>
      <c r="E147">
        <v>8</v>
      </c>
      <c r="F147">
        <v>8</v>
      </c>
      <c r="G147">
        <f>1</f>
        <v>1</v>
      </c>
      <c r="H147">
        <f>Table1[[#This Row],[Fatalities (air)]]/Table1[[#This Row],[Aboard]]</f>
        <v>1</v>
      </c>
      <c r="I147" t="s">
        <v>296</v>
      </c>
    </row>
    <row r="148" spans="1:9" x14ac:dyDescent="0.25">
      <c r="A148">
        <v>2003</v>
      </c>
      <c r="B148" t="s">
        <v>2</v>
      </c>
      <c r="C148" t="s">
        <v>109</v>
      </c>
      <c r="D148" t="s">
        <v>244</v>
      </c>
      <c r="E148">
        <v>5</v>
      </c>
      <c r="F148">
        <v>5</v>
      </c>
      <c r="G148">
        <f>1</f>
        <v>1</v>
      </c>
      <c r="H148">
        <f>Table1[[#This Row],[Fatalities (air)]]/Table1[[#This Row],[Aboard]]</f>
        <v>1</v>
      </c>
      <c r="I148" t="s">
        <v>296</v>
      </c>
    </row>
    <row r="149" spans="1:9" x14ac:dyDescent="0.25">
      <c r="A149">
        <v>2004</v>
      </c>
      <c r="B149" t="s">
        <v>4</v>
      </c>
      <c r="C149" t="s">
        <v>309</v>
      </c>
      <c r="D149" t="s">
        <v>245</v>
      </c>
      <c r="E149">
        <v>3</v>
      </c>
      <c r="F149">
        <v>3</v>
      </c>
      <c r="G149">
        <f>1</f>
        <v>1</v>
      </c>
      <c r="H149">
        <f>Table1[[#This Row],[Fatalities (air)]]/Table1[[#This Row],[Aboard]]</f>
        <v>1</v>
      </c>
      <c r="I149" t="s">
        <v>296</v>
      </c>
    </row>
    <row r="150" spans="1:9" x14ac:dyDescent="0.25">
      <c r="A150">
        <v>2007</v>
      </c>
      <c r="B150" t="s">
        <v>4</v>
      </c>
      <c r="C150" t="s">
        <v>308</v>
      </c>
      <c r="D150" t="s">
        <v>246</v>
      </c>
      <c r="E150">
        <v>17</v>
      </c>
      <c r="F150">
        <v>17</v>
      </c>
      <c r="G150">
        <f>1</f>
        <v>1</v>
      </c>
      <c r="H150">
        <f>Table1[[#This Row],[Fatalities (air)]]/Table1[[#This Row],[Aboard]]</f>
        <v>1</v>
      </c>
      <c r="I150" t="s">
        <v>296</v>
      </c>
    </row>
    <row r="151" spans="1:9" x14ac:dyDescent="0.25">
      <c r="A151">
        <v>2002</v>
      </c>
      <c r="B151" t="s">
        <v>5</v>
      </c>
      <c r="C151" t="s">
        <v>110</v>
      </c>
      <c r="D151" t="s">
        <v>247</v>
      </c>
      <c r="E151">
        <v>12</v>
      </c>
      <c r="F151">
        <v>12</v>
      </c>
      <c r="G151">
        <f>1</f>
        <v>1</v>
      </c>
      <c r="H151">
        <f>Table1[[#This Row],[Fatalities (air)]]/Table1[[#This Row],[Aboard]]</f>
        <v>1</v>
      </c>
      <c r="I151" t="s">
        <v>296</v>
      </c>
    </row>
    <row r="152" spans="1:9" x14ac:dyDescent="0.25">
      <c r="A152">
        <v>2018</v>
      </c>
      <c r="B152" t="s">
        <v>6</v>
      </c>
      <c r="C152" t="s">
        <v>70</v>
      </c>
      <c r="D152" t="s">
        <v>127</v>
      </c>
      <c r="E152">
        <v>189</v>
      </c>
      <c r="F152">
        <v>189</v>
      </c>
      <c r="G152">
        <f>1</f>
        <v>1</v>
      </c>
      <c r="H152">
        <f>Table1[[#This Row],[Fatalities (air)]]/Table1[[#This Row],[Aboard]]</f>
        <v>1</v>
      </c>
      <c r="I152" t="s">
        <v>296</v>
      </c>
    </row>
    <row r="153" spans="1:9" x14ac:dyDescent="0.25">
      <c r="A153">
        <v>2015</v>
      </c>
      <c r="B153" t="s">
        <v>6</v>
      </c>
      <c r="C153" t="s">
        <v>310</v>
      </c>
      <c r="D153" t="s">
        <v>224</v>
      </c>
      <c r="E153">
        <v>4</v>
      </c>
      <c r="F153">
        <v>4</v>
      </c>
      <c r="G153">
        <f>1</f>
        <v>1</v>
      </c>
      <c r="H153">
        <f>Table1[[#This Row],[Fatalities (air)]]/Table1[[#This Row],[Aboard]]</f>
        <v>1</v>
      </c>
      <c r="I153" t="s">
        <v>296</v>
      </c>
    </row>
    <row r="154" spans="1:9" x14ac:dyDescent="0.25">
      <c r="A154">
        <v>2015</v>
      </c>
      <c r="B154" t="s">
        <v>6</v>
      </c>
      <c r="C154" t="s">
        <v>311</v>
      </c>
      <c r="D154" t="s">
        <v>248</v>
      </c>
      <c r="E154">
        <v>10</v>
      </c>
      <c r="F154">
        <v>10</v>
      </c>
      <c r="G154">
        <f>1</f>
        <v>1</v>
      </c>
      <c r="H154">
        <f>Table1[[#This Row],[Fatalities (air)]]/Table1[[#This Row],[Aboard]]</f>
        <v>1</v>
      </c>
      <c r="I154" t="s">
        <v>296</v>
      </c>
    </row>
    <row r="155" spans="1:9" x14ac:dyDescent="0.25">
      <c r="A155">
        <v>2008</v>
      </c>
      <c r="B155" t="s">
        <v>11</v>
      </c>
      <c r="C155" t="s">
        <v>112</v>
      </c>
      <c r="D155" t="s">
        <v>175</v>
      </c>
      <c r="E155">
        <v>18</v>
      </c>
      <c r="F155">
        <v>19</v>
      </c>
      <c r="G155">
        <f>1</f>
        <v>1</v>
      </c>
      <c r="H155">
        <f>Table1[[#This Row],[Fatalities (air)]]/Table1[[#This Row],[Aboard]]</f>
        <v>0.94736842105263153</v>
      </c>
      <c r="I155" t="s">
        <v>296</v>
      </c>
    </row>
    <row r="156" spans="1:9" x14ac:dyDescent="0.25">
      <c r="A156">
        <v>2006</v>
      </c>
      <c r="B156" t="s">
        <v>12</v>
      </c>
      <c r="C156" t="s">
        <v>54</v>
      </c>
      <c r="D156" t="s">
        <v>249</v>
      </c>
      <c r="E156">
        <v>96</v>
      </c>
      <c r="F156">
        <v>105</v>
      </c>
      <c r="G156">
        <f>1</f>
        <v>1</v>
      </c>
      <c r="H156">
        <f>Table1[[#This Row],[Fatalities (air)]]/Table1[[#This Row],[Aboard]]</f>
        <v>0.91428571428571426</v>
      </c>
      <c r="I156" t="s">
        <v>296</v>
      </c>
    </row>
    <row r="157" spans="1:9" x14ac:dyDescent="0.25">
      <c r="A157">
        <v>2005</v>
      </c>
      <c r="B157" t="s">
        <v>12</v>
      </c>
      <c r="C157" t="s">
        <v>74</v>
      </c>
      <c r="D157" t="s">
        <v>250</v>
      </c>
      <c r="E157">
        <v>117</v>
      </c>
      <c r="F157">
        <v>117</v>
      </c>
      <c r="G157">
        <f>1</f>
        <v>1</v>
      </c>
      <c r="H157">
        <f>Table1[[#This Row],[Fatalities (air)]]/Table1[[#This Row],[Aboard]]</f>
        <v>1</v>
      </c>
      <c r="I157" t="s">
        <v>295</v>
      </c>
    </row>
    <row r="158" spans="1:9" x14ac:dyDescent="0.25">
      <c r="A158">
        <v>2013</v>
      </c>
      <c r="B158" t="s">
        <v>12</v>
      </c>
      <c r="C158" t="s">
        <v>74</v>
      </c>
      <c r="D158" t="s">
        <v>251</v>
      </c>
      <c r="E158">
        <v>16</v>
      </c>
      <c r="F158">
        <v>20</v>
      </c>
      <c r="G158">
        <f>1</f>
        <v>1</v>
      </c>
      <c r="H158">
        <f>Table1[[#This Row],[Fatalities (air)]]/Table1[[#This Row],[Aboard]]</f>
        <v>0.8</v>
      </c>
      <c r="I158" t="s">
        <v>295</v>
      </c>
    </row>
    <row r="159" spans="1:9" x14ac:dyDescent="0.25">
      <c r="A159">
        <v>2012</v>
      </c>
      <c r="B159" t="s">
        <v>10</v>
      </c>
      <c r="C159" t="s">
        <v>304</v>
      </c>
      <c r="D159" t="s">
        <v>252</v>
      </c>
      <c r="E159">
        <v>15</v>
      </c>
      <c r="F159">
        <v>22</v>
      </c>
      <c r="G159">
        <f>1</f>
        <v>1</v>
      </c>
      <c r="H159">
        <f>Table1[[#This Row],[Fatalities (air)]]/Table1[[#This Row],[Aboard]]</f>
        <v>0.68181818181818177</v>
      </c>
      <c r="I159" t="s">
        <v>295</v>
      </c>
    </row>
    <row r="160" spans="1:9" x14ac:dyDescent="0.25">
      <c r="A160">
        <v>2004</v>
      </c>
      <c r="B160" t="s">
        <v>10</v>
      </c>
      <c r="C160" t="s">
        <v>114</v>
      </c>
      <c r="D160" t="s">
        <v>253</v>
      </c>
      <c r="E160">
        <v>4</v>
      </c>
      <c r="F160">
        <v>4</v>
      </c>
      <c r="G160">
        <f>1</f>
        <v>1</v>
      </c>
      <c r="H160">
        <f>Table1[[#This Row],[Fatalities (air)]]/Table1[[#This Row],[Aboard]]</f>
        <v>1</v>
      </c>
      <c r="I160" t="s">
        <v>295</v>
      </c>
    </row>
    <row r="161" spans="1:9" x14ac:dyDescent="0.25">
      <c r="A161">
        <v>2006</v>
      </c>
      <c r="B161" t="s">
        <v>1</v>
      </c>
      <c r="C161" t="s">
        <v>307</v>
      </c>
      <c r="D161" t="s">
        <v>254</v>
      </c>
      <c r="E161">
        <v>14</v>
      </c>
      <c r="F161">
        <v>14</v>
      </c>
      <c r="G161">
        <f>1</f>
        <v>1</v>
      </c>
      <c r="H161">
        <f>Table1[[#This Row],[Fatalities (air)]]/Table1[[#This Row],[Aboard]]</f>
        <v>1</v>
      </c>
      <c r="I161" t="s">
        <v>295</v>
      </c>
    </row>
    <row r="162" spans="1:9" x14ac:dyDescent="0.25">
      <c r="A162">
        <v>2006</v>
      </c>
      <c r="B162" t="s">
        <v>3</v>
      </c>
      <c r="C162" t="s">
        <v>306</v>
      </c>
      <c r="D162" t="s">
        <v>255</v>
      </c>
      <c r="E162">
        <v>154</v>
      </c>
      <c r="F162">
        <v>161</v>
      </c>
      <c r="G162">
        <f>1</f>
        <v>1</v>
      </c>
      <c r="H162">
        <f>Table1[[#This Row],[Fatalities (air)]]/Table1[[#This Row],[Aboard]]</f>
        <v>0.95652173913043481</v>
      </c>
      <c r="I162" t="s">
        <v>295</v>
      </c>
    </row>
    <row r="163" spans="1:9" x14ac:dyDescent="0.25">
      <c r="A163">
        <v>2023</v>
      </c>
      <c r="B163" t="s">
        <v>3</v>
      </c>
      <c r="C163" t="s">
        <v>116</v>
      </c>
      <c r="D163" t="s">
        <v>256</v>
      </c>
      <c r="E163">
        <v>14</v>
      </c>
      <c r="F163">
        <v>14</v>
      </c>
      <c r="G163">
        <f>1</f>
        <v>1</v>
      </c>
      <c r="H163">
        <f>Table1[[#This Row],[Fatalities (air)]]/Table1[[#This Row],[Aboard]]</f>
        <v>1</v>
      </c>
      <c r="I163" t="s">
        <v>295</v>
      </c>
    </row>
    <row r="164" spans="1:9" x14ac:dyDescent="0.25">
      <c r="A164">
        <v>2001</v>
      </c>
      <c r="B164" t="s">
        <v>3</v>
      </c>
      <c r="C164" t="s">
        <v>68</v>
      </c>
      <c r="D164" t="s">
        <v>182</v>
      </c>
      <c r="E164">
        <v>1</v>
      </c>
      <c r="F164">
        <v>82</v>
      </c>
      <c r="G164">
        <f>1</f>
        <v>1</v>
      </c>
      <c r="H164">
        <f>Table1[[#This Row],[Fatalities (air)]]/Table1[[#This Row],[Aboard]]</f>
        <v>1.2195121951219513E-2</v>
      </c>
      <c r="I164" t="s">
        <v>295</v>
      </c>
    </row>
    <row r="165" spans="1:9" x14ac:dyDescent="0.25">
      <c r="A165">
        <v>2000</v>
      </c>
      <c r="B165" t="s">
        <v>4</v>
      </c>
      <c r="C165" t="s">
        <v>117</v>
      </c>
      <c r="D165" t="s">
        <v>257</v>
      </c>
      <c r="E165">
        <v>7</v>
      </c>
      <c r="F165">
        <v>7</v>
      </c>
      <c r="G165">
        <f>1</f>
        <v>1</v>
      </c>
      <c r="H165">
        <f>Table1[[#This Row],[Fatalities (air)]]/Table1[[#This Row],[Aboard]]</f>
        <v>1</v>
      </c>
      <c r="I165" t="s">
        <v>295</v>
      </c>
    </row>
    <row r="166" spans="1:9" x14ac:dyDescent="0.25">
      <c r="A166">
        <v>2005</v>
      </c>
      <c r="B166" t="s">
        <v>6</v>
      </c>
      <c r="C166" t="s">
        <v>71</v>
      </c>
      <c r="D166" t="s">
        <v>258</v>
      </c>
      <c r="E166">
        <v>99</v>
      </c>
      <c r="F166">
        <v>117</v>
      </c>
      <c r="G166">
        <f>1</f>
        <v>1</v>
      </c>
      <c r="H166">
        <f>Table1[[#This Row],[Fatalities (air)]]/Table1[[#This Row],[Aboard]]</f>
        <v>0.84615384615384615</v>
      </c>
      <c r="I166" t="s">
        <v>295</v>
      </c>
    </row>
    <row r="167" spans="1:9" x14ac:dyDescent="0.25">
      <c r="A167">
        <v>2011</v>
      </c>
      <c r="B167" t="s">
        <v>6</v>
      </c>
      <c r="C167" t="s">
        <v>305</v>
      </c>
      <c r="D167" t="s">
        <v>259</v>
      </c>
      <c r="E167">
        <v>18</v>
      </c>
      <c r="F167">
        <v>18</v>
      </c>
      <c r="G167">
        <f>1</f>
        <v>1</v>
      </c>
      <c r="H167">
        <f>Table1[[#This Row],[Fatalities (air)]]/Table1[[#This Row],[Aboard]]</f>
        <v>1</v>
      </c>
      <c r="I167" t="s">
        <v>295</v>
      </c>
    </row>
    <row r="168" spans="1:9" x14ac:dyDescent="0.25">
      <c r="A168">
        <v>2011</v>
      </c>
      <c r="B168" t="s">
        <v>11</v>
      </c>
      <c r="C168" t="s">
        <v>87</v>
      </c>
      <c r="D168" t="s">
        <v>260</v>
      </c>
      <c r="E168">
        <v>19</v>
      </c>
      <c r="F168">
        <v>19</v>
      </c>
      <c r="G168">
        <f>1</f>
        <v>1</v>
      </c>
      <c r="H168">
        <f>Table1[[#This Row],[Fatalities (air)]]/Table1[[#This Row],[Aboard]]</f>
        <v>1</v>
      </c>
      <c r="I168" t="s">
        <v>295</v>
      </c>
    </row>
    <row r="169" spans="1:9" x14ac:dyDescent="0.25">
      <c r="A169">
        <v>2012</v>
      </c>
      <c r="B169" t="s">
        <v>11</v>
      </c>
      <c r="C169" t="s">
        <v>87</v>
      </c>
      <c r="D169" t="s">
        <v>261</v>
      </c>
      <c r="E169">
        <v>19</v>
      </c>
      <c r="F169">
        <v>19</v>
      </c>
      <c r="G169">
        <f>1</f>
        <v>1</v>
      </c>
      <c r="H169">
        <f>Table1[[#This Row],[Fatalities (air)]]/Table1[[#This Row],[Aboard]]</f>
        <v>1</v>
      </c>
      <c r="I169" t="s">
        <v>295</v>
      </c>
    </row>
    <row r="170" spans="1:9" x14ac:dyDescent="0.25">
      <c r="A170">
        <v>2006</v>
      </c>
      <c r="B170" t="s">
        <v>12</v>
      </c>
      <c r="C170" t="s">
        <v>118</v>
      </c>
      <c r="D170" t="s">
        <v>229</v>
      </c>
      <c r="E170">
        <v>13</v>
      </c>
      <c r="F170">
        <v>18</v>
      </c>
      <c r="G170">
        <f>1</f>
        <v>1</v>
      </c>
      <c r="H170">
        <f>Table1[[#This Row],[Fatalities (air)]]/Table1[[#This Row],[Aboard]]</f>
        <v>0.72222222222222221</v>
      </c>
      <c r="I170" t="s">
        <v>295</v>
      </c>
    </row>
    <row r="171" spans="1:9" x14ac:dyDescent="0.25">
      <c r="G171" s="3">
        <f>1</f>
        <v>1</v>
      </c>
      <c r="H171" s="3" t="e">
        <f>Table1[[#This Row],[Fatalities (air)]]/Table1[[#This Row],[Aboard]]</f>
        <v>#DIV/0!</v>
      </c>
      <c r="I171" t="s">
        <v>295</v>
      </c>
    </row>
    <row r="172" spans="1:9" x14ac:dyDescent="0.25">
      <c r="G172" s="3">
        <f>1</f>
        <v>1</v>
      </c>
      <c r="H172" s="3" t="e">
        <f>Table1[[#This Row],[Fatalities (air)]]/Table1[[#This Row],[Aboard]]</f>
        <v>#DIV/0!</v>
      </c>
      <c r="I172" s="3" t="s">
        <v>294</v>
      </c>
    </row>
    <row r="173" spans="1:9" x14ac:dyDescent="0.25">
      <c r="G173" s="3">
        <f>1</f>
        <v>1</v>
      </c>
      <c r="H173" s="3" t="e">
        <f>Table1[[#This Row],[Fatalities (air)]]/Table1[[#This Row],[Aboard]]</f>
        <v>#DIV/0!</v>
      </c>
      <c r="I173" s="3" t="s">
        <v>294</v>
      </c>
    </row>
    <row r="174" spans="1:9" x14ac:dyDescent="0.25">
      <c r="G174" s="3">
        <f>1</f>
        <v>1</v>
      </c>
      <c r="H174" s="3" t="e">
        <f>Table1[[#This Row],[Fatalities (air)]]/Table1[[#This Row],[Aboard]]</f>
        <v>#DIV/0!</v>
      </c>
      <c r="I174" s="3" t="s">
        <v>294</v>
      </c>
    </row>
    <row r="175" spans="1:9" x14ac:dyDescent="0.25">
      <c r="G175" s="3">
        <f>1</f>
        <v>1</v>
      </c>
      <c r="H175" s="3" t="e">
        <f>Table1[[#This Row],[Fatalities (air)]]/Table1[[#This Row],[Aboard]]</f>
        <v>#DIV/0!</v>
      </c>
      <c r="I175" s="3" t="s">
        <v>294</v>
      </c>
    </row>
    <row r="176" spans="1:9" x14ac:dyDescent="0.25">
      <c r="G176" s="3">
        <f>1</f>
        <v>1</v>
      </c>
      <c r="H176" s="3" t="e">
        <f>Table1[[#This Row],[Fatalities (air)]]/Table1[[#This Row],[Aboard]]</f>
        <v>#DIV/0!</v>
      </c>
      <c r="I176" s="3" t="s">
        <v>294</v>
      </c>
    </row>
    <row r="177" spans="7:9" x14ac:dyDescent="0.25">
      <c r="G177" s="3">
        <f>1</f>
        <v>1</v>
      </c>
      <c r="H177" s="3" t="e">
        <f>Table1[[#This Row],[Fatalities (air)]]/Table1[[#This Row],[Aboard]]</f>
        <v>#DIV/0!</v>
      </c>
      <c r="I177" s="3" t="s">
        <v>294</v>
      </c>
    </row>
    <row r="178" spans="7:9" x14ac:dyDescent="0.25">
      <c r="G178" s="3">
        <f>1</f>
        <v>1</v>
      </c>
      <c r="H178" s="3" t="e">
        <f>Table1[[#This Row],[Fatalities (air)]]/Table1[[#This Row],[Aboard]]</f>
        <v>#DIV/0!</v>
      </c>
      <c r="I178" s="3" t="s">
        <v>294</v>
      </c>
    </row>
    <row r="179" spans="7:9" x14ac:dyDescent="0.25">
      <c r="G179" s="3">
        <f>1</f>
        <v>1</v>
      </c>
      <c r="H179" s="3" t="e">
        <f>Table1[[#This Row],[Fatalities (air)]]/Table1[[#This Row],[Aboard]]</f>
        <v>#DIV/0!</v>
      </c>
      <c r="I179" s="3" t="s">
        <v>294</v>
      </c>
    </row>
    <row r="180" spans="7:9" x14ac:dyDescent="0.25">
      <c r="G180" s="3">
        <f>1</f>
        <v>1</v>
      </c>
      <c r="H180" s="3" t="e">
        <f>Table1[[#This Row],[Fatalities (air)]]/Table1[[#This Row],[Aboard]]</f>
        <v>#DIV/0!</v>
      </c>
      <c r="I180" s="3" t="s">
        <v>294</v>
      </c>
    </row>
    <row r="181" spans="7:9" x14ac:dyDescent="0.25">
      <c r="G181" s="3">
        <f>1</f>
        <v>1</v>
      </c>
      <c r="H181" s="3" t="e">
        <f>Table1[[#This Row],[Fatalities (air)]]/Table1[[#This Row],[Aboard]]</f>
        <v>#DIV/0!</v>
      </c>
      <c r="I181" s="3" t="s">
        <v>294</v>
      </c>
    </row>
    <row r="182" spans="7:9" x14ac:dyDescent="0.25">
      <c r="G182" s="3">
        <f>1</f>
        <v>1</v>
      </c>
      <c r="H182" s="3" t="e">
        <f>Table1[[#This Row],[Fatalities (air)]]/Table1[[#This Row],[Aboard]]</f>
        <v>#DIV/0!</v>
      </c>
      <c r="I182" s="3" t="s">
        <v>294</v>
      </c>
    </row>
    <row r="183" spans="7:9" x14ac:dyDescent="0.25">
      <c r="G183" s="3">
        <f>1</f>
        <v>1</v>
      </c>
      <c r="H183" s="3" t="e">
        <f>Table1[[#This Row],[Fatalities (air)]]/Table1[[#This Row],[Aboard]]</f>
        <v>#DIV/0!</v>
      </c>
      <c r="I183" s="3" t="s">
        <v>294</v>
      </c>
    </row>
    <row r="184" spans="7:9" x14ac:dyDescent="0.25">
      <c r="G184" s="3">
        <f>1</f>
        <v>1</v>
      </c>
      <c r="H184" s="3" t="e">
        <f>Table1[[#This Row],[Fatalities (air)]]/Table1[[#This Row],[Aboard]]</f>
        <v>#DIV/0!</v>
      </c>
      <c r="I184" s="3" t="s">
        <v>294</v>
      </c>
    </row>
    <row r="185" spans="7:9" x14ac:dyDescent="0.25">
      <c r="G185" s="3">
        <f>1</f>
        <v>1</v>
      </c>
      <c r="H185" s="3" t="e">
        <f>Table1[[#This Row],[Fatalities (air)]]/Table1[[#This Row],[Aboard]]</f>
        <v>#DIV/0!</v>
      </c>
      <c r="I185" s="3" t="s">
        <v>294</v>
      </c>
    </row>
    <row r="186" spans="7:9" x14ac:dyDescent="0.25">
      <c r="G186" s="3">
        <f>1</f>
        <v>1</v>
      </c>
      <c r="H186" s="3" t="e">
        <f>Table1[[#This Row],[Fatalities (air)]]/Table1[[#This Row],[Aboard]]</f>
        <v>#DIV/0!</v>
      </c>
      <c r="I186" s="3" t="s">
        <v>294</v>
      </c>
    </row>
    <row r="187" spans="7:9" x14ac:dyDescent="0.25">
      <c r="G187" s="3">
        <f>1</f>
        <v>1</v>
      </c>
      <c r="H187" s="3" t="e">
        <f>Table1[[#This Row],[Fatalities (air)]]/Table1[[#This Row],[Aboard]]</f>
        <v>#DIV/0!</v>
      </c>
      <c r="I187" s="3" t="s">
        <v>294</v>
      </c>
    </row>
    <row r="188" spans="7:9" x14ac:dyDescent="0.25">
      <c r="G188" s="3">
        <f>1</f>
        <v>1</v>
      </c>
      <c r="H188" s="3" t="e">
        <f>Table1[[#This Row],[Fatalities (air)]]/Table1[[#This Row],[Aboard]]</f>
        <v>#DIV/0!</v>
      </c>
      <c r="I188" s="3" t="s">
        <v>297</v>
      </c>
    </row>
    <row r="189" spans="7:9" x14ac:dyDescent="0.25">
      <c r="G189" s="3">
        <f>1</f>
        <v>1</v>
      </c>
      <c r="H189" s="3" t="e">
        <f>Table1[[#This Row],[Fatalities (air)]]/Table1[[#This Row],[Aboard]]</f>
        <v>#DIV/0!</v>
      </c>
      <c r="I189" s="3" t="s">
        <v>295</v>
      </c>
    </row>
    <row r="190" spans="7:9" x14ac:dyDescent="0.25">
      <c r="G190" s="3">
        <f>1</f>
        <v>1</v>
      </c>
      <c r="H190" s="3" t="e">
        <f>Table1[[#This Row],[Fatalities (air)]]/Table1[[#This Row],[Aboard]]</f>
        <v>#DIV/0!</v>
      </c>
      <c r="I190" s="3" t="s">
        <v>295</v>
      </c>
    </row>
    <row r="191" spans="7:9" x14ac:dyDescent="0.25">
      <c r="G191" s="3">
        <f>1</f>
        <v>1</v>
      </c>
      <c r="H191" s="3" t="e">
        <f>Table1[[#This Row],[Fatalities (air)]]/Table1[[#This Row],[Aboard]]</f>
        <v>#DIV/0!</v>
      </c>
      <c r="I191" s="3" t="s">
        <v>295</v>
      </c>
    </row>
    <row r="192" spans="7:9" x14ac:dyDescent="0.25">
      <c r="G192" s="3">
        <f>1</f>
        <v>1</v>
      </c>
      <c r="H192" s="3" t="e">
        <f>Table1[[#This Row],[Fatalities (air)]]/Table1[[#This Row],[Aboard]]</f>
        <v>#DIV/0!</v>
      </c>
      <c r="I192" s="3" t="s">
        <v>295</v>
      </c>
    </row>
    <row r="193" spans="7:9" x14ac:dyDescent="0.25">
      <c r="G193" s="3">
        <f>1</f>
        <v>1</v>
      </c>
      <c r="H193" s="3" t="e">
        <f>Table1[[#This Row],[Fatalities (air)]]/Table1[[#This Row],[Aboard]]</f>
        <v>#DIV/0!</v>
      </c>
      <c r="I193" s="3" t="s">
        <v>297</v>
      </c>
    </row>
    <row r="194" spans="7:9" x14ac:dyDescent="0.25">
      <c r="G194" s="3">
        <f>1</f>
        <v>1</v>
      </c>
      <c r="H194" s="3" t="e">
        <f>Table1[[#This Row],[Fatalities (air)]]/Table1[[#This Row],[Aboard]]</f>
        <v>#DIV/0!</v>
      </c>
      <c r="I194" s="3" t="s">
        <v>294</v>
      </c>
    </row>
    <row r="195" spans="7:9" x14ac:dyDescent="0.25">
      <c r="G195" s="3">
        <f>1</f>
        <v>1</v>
      </c>
      <c r="H195" s="3" t="e">
        <f>Table1[[#This Row],[Fatalities (air)]]/Table1[[#This Row],[Aboard]]</f>
        <v>#DIV/0!</v>
      </c>
      <c r="I195" s="3" t="s">
        <v>294</v>
      </c>
    </row>
    <row r="196" spans="7:9" x14ac:dyDescent="0.25">
      <c r="G196" s="3">
        <f>1</f>
        <v>1</v>
      </c>
      <c r="H196" s="3" t="e">
        <f>Table1[[#This Row],[Fatalities (air)]]/Table1[[#This Row],[Aboard]]</f>
        <v>#DIV/0!</v>
      </c>
      <c r="I196" s="3" t="s">
        <v>294</v>
      </c>
    </row>
    <row r="197" spans="7:9" x14ac:dyDescent="0.25">
      <c r="G197" s="3">
        <f>1</f>
        <v>1</v>
      </c>
      <c r="H197" s="3" t="e">
        <f>Table1[[#This Row],[Fatalities (air)]]/Table1[[#This Row],[Aboard]]</f>
        <v>#DIV/0!</v>
      </c>
      <c r="I197" s="3" t="s">
        <v>294</v>
      </c>
    </row>
    <row r="198" spans="7:9" x14ac:dyDescent="0.25">
      <c r="G198" s="3">
        <f>1</f>
        <v>1</v>
      </c>
      <c r="H198" s="3" t="e">
        <f>Table1[[#This Row],[Fatalities (air)]]/Table1[[#This Row],[Aboard]]</f>
        <v>#DIV/0!</v>
      </c>
      <c r="I198" s="3" t="s">
        <v>295</v>
      </c>
    </row>
    <row r="199" spans="7:9" x14ac:dyDescent="0.25">
      <c r="G199" s="3">
        <f>1</f>
        <v>1</v>
      </c>
      <c r="H199" s="3" t="e">
        <f>Table1[[#This Row],[Fatalities (air)]]/Table1[[#This Row],[Aboard]]</f>
        <v>#DIV/0!</v>
      </c>
      <c r="I199" s="3" t="s">
        <v>295</v>
      </c>
    </row>
    <row r="200" spans="7:9" x14ac:dyDescent="0.25">
      <c r="G200" s="3">
        <f>1</f>
        <v>1</v>
      </c>
      <c r="H200" s="3" t="e">
        <f>Table1[[#This Row],[Fatalities (air)]]/Table1[[#This Row],[Aboard]]</f>
        <v>#DIV/0!</v>
      </c>
      <c r="I200" s="3" t="s">
        <v>295</v>
      </c>
    </row>
    <row r="201" spans="7:9" x14ac:dyDescent="0.25">
      <c r="G201" s="3">
        <f>1</f>
        <v>1</v>
      </c>
      <c r="H201" s="3" t="e">
        <f>Table1[[#This Row],[Fatalities (air)]]/Table1[[#This Row],[Aboard]]</f>
        <v>#DIV/0!</v>
      </c>
      <c r="I201" s="3" t="s">
        <v>295</v>
      </c>
    </row>
    <row r="202" spans="7:9" x14ac:dyDescent="0.25">
      <c r="G202" s="3">
        <f>1</f>
        <v>1</v>
      </c>
      <c r="H202" s="3" t="e">
        <f>Table1[[#This Row],[Fatalities (air)]]/Table1[[#This Row],[Aboard]]</f>
        <v>#DIV/0!</v>
      </c>
      <c r="I202" s="3" t="s">
        <v>295</v>
      </c>
    </row>
    <row r="203" spans="7:9" x14ac:dyDescent="0.25">
      <c r="G203" s="3">
        <f>1</f>
        <v>1</v>
      </c>
      <c r="H203" s="3" t="e">
        <f>Table1[[#This Row],[Fatalities (air)]]/Table1[[#This Row],[Aboard]]</f>
        <v>#DIV/0!</v>
      </c>
      <c r="I203" s="3" t="s">
        <v>295</v>
      </c>
    </row>
    <row r="204" spans="7:9" x14ac:dyDescent="0.25">
      <c r="G204" s="3">
        <f>1</f>
        <v>1</v>
      </c>
      <c r="H204" s="3" t="e">
        <f>Table1[[#This Row],[Fatalities (air)]]/Table1[[#This Row],[Aboard]]</f>
        <v>#DIV/0!</v>
      </c>
      <c r="I204" s="3" t="s">
        <v>295</v>
      </c>
    </row>
    <row r="205" spans="7:9" x14ac:dyDescent="0.25">
      <c r="G205" s="3">
        <f>1</f>
        <v>1</v>
      </c>
      <c r="H205" s="3" t="e">
        <f>Table1[[#This Row],[Fatalities (air)]]/Table1[[#This Row],[Aboard]]</f>
        <v>#DIV/0!</v>
      </c>
      <c r="I205" s="3" t="s">
        <v>295</v>
      </c>
    </row>
    <row r="206" spans="7:9" x14ac:dyDescent="0.25">
      <c r="G206" s="3">
        <f>1</f>
        <v>1</v>
      </c>
      <c r="H206" s="3" t="e">
        <f>Table1[[#This Row],[Fatalities (air)]]/Table1[[#This Row],[Aboard]]</f>
        <v>#DIV/0!</v>
      </c>
      <c r="I206" s="3" t="s">
        <v>295</v>
      </c>
    </row>
    <row r="207" spans="7:9" x14ac:dyDescent="0.25">
      <c r="G207" s="3">
        <f>1</f>
        <v>1</v>
      </c>
      <c r="H207" s="3" t="e">
        <f>Table1[[#This Row],[Fatalities (air)]]/Table1[[#This Row],[Aboard]]</f>
        <v>#DIV/0!</v>
      </c>
      <c r="I207" s="3" t="s">
        <v>295</v>
      </c>
    </row>
    <row r="208" spans="7:9" x14ac:dyDescent="0.25">
      <c r="G208" s="3">
        <f>1</f>
        <v>1</v>
      </c>
      <c r="H208" s="3" t="e">
        <f>Table1[[#This Row],[Fatalities (air)]]/Table1[[#This Row],[Aboard]]</f>
        <v>#DIV/0!</v>
      </c>
      <c r="I208" s="3" t="s">
        <v>295</v>
      </c>
    </row>
    <row r="209" spans="7:9" x14ac:dyDescent="0.25">
      <c r="G209" s="3">
        <f>1</f>
        <v>1</v>
      </c>
      <c r="H209" s="3" t="e">
        <f>Table1[[#This Row],[Fatalities (air)]]/Table1[[#This Row],[Aboard]]</f>
        <v>#DIV/0!</v>
      </c>
      <c r="I209" s="3" t="s">
        <v>295</v>
      </c>
    </row>
    <row r="210" spans="7:9" x14ac:dyDescent="0.25">
      <c r="G210" s="3">
        <f>1</f>
        <v>1</v>
      </c>
      <c r="H210" s="3" t="e">
        <f>Table1[[#This Row],[Fatalities (air)]]/Table1[[#This Row],[Aboard]]</f>
        <v>#DIV/0!</v>
      </c>
      <c r="I210" s="3" t="s">
        <v>296</v>
      </c>
    </row>
    <row r="211" spans="7:9" x14ac:dyDescent="0.25">
      <c r="G211" s="3">
        <f>1</f>
        <v>1</v>
      </c>
      <c r="H211" s="3" t="e">
        <f>Table1[[#This Row],[Fatalities (air)]]/Table1[[#This Row],[Aboard]]</f>
        <v>#DIV/0!</v>
      </c>
      <c r="I211" s="3" t="s">
        <v>296</v>
      </c>
    </row>
    <row r="212" spans="7:9" x14ac:dyDescent="0.25">
      <c r="G212" s="3">
        <f>1</f>
        <v>1</v>
      </c>
      <c r="H212" s="3" t="e">
        <f>Table1[[#This Row],[Fatalities (air)]]/Table1[[#This Row],[Aboard]]</f>
        <v>#DIV/0!</v>
      </c>
      <c r="I212" s="3" t="s">
        <v>296</v>
      </c>
    </row>
    <row r="213" spans="7:9" x14ac:dyDescent="0.25">
      <c r="G213" s="3">
        <f>1</f>
        <v>1</v>
      </c>
      <c r="H213" s="3" t="e">
        <f>Table1[[#This Row],[Fatalities (air)]]/Table1[[#This Row],[Aboard]]</f>
        <v>#DIV/0!</v>
      </c>
      <c r="I213" s="3" t="s">
        <v>296</v>
      </c>
    </row>
    <row r="214" spans="7:9" x14ac:dyDescent="0.25">
      <c r="G214" s="3">
        <f>1</f>
        <v>1</v>
      </c>
      <c r="H214" s="3" t="e">
        <f>Table1[[#This Row],[Fatalities (air)]]/Table1[[#This Row],[Aboard]]</f>
        <v>#DIV/0!</v>
      </c>
      <c r="I214" s="3" t="s">
        <v>296</v>
      </c>
    </row>
    <row r="215" spans="7:9" x14ac:dyDescent="0.25">
      <c r="G215" s="3">
        <f>1</f>
        <v>1</v>
      </c>
      <c r="H215" s="3" t="e">
        <f>Table1[[#This Row],[Fatalities (air)]]/Table1[[#This Row],[Aboard]]</f>
        <v>#DIV/0!</v>
      </c>
      <c r="I215" s="3" t="s">
        <v>296</v>
      </c>
    </row>
    <row r="216" spans="7:9" x14ac:dyDescent="0.25">
      <c r="G216" s="3">
        <f>1</f>
        <v>1</v>
      </c>
      <c r="H216" s="3" t="e">
        <f>Table1[[#This Row],[Fatalities (air)]]/Table1[[#This Row],[Aboard]]</f>
        <v>#DIV/0!</v>
      </c>
      <c r="I216" s="3" t="s">
        <v>296</v>
      </c>
    </row>
    <row r="217" spans="7:9" x14ac:dyDescent="0.25">
      <c r="G217" s="3">
        <f>1</f>
        <v>1</v>
      </c>
      <c r="H217" s="3" t="e">
        <f>Table1[[#This Row],[Fatalities (air)]]/Table1[[#This Row],[Aboard]]</f>
        <v>#DIV/0!</v>
      </c>
      <c r="I217" s="3" t="s">
        <v>296</v>
      </c>
    </row>
    <row r="218" spans="7:9" x14ac:dyDescent="0.25">
      <c r="G218" s="3">
        <f>1</f>
        <v>1</v>
      </c>
      <c r="H218" s="3" t="e">
        <f>Table1[[#This Row],[Fatalities (air)]]/Table1[[#This Row],[Aboard]]</f>
        <v>#DIV/0!</v>
      </c>
      <c r="I218" s="3" t="s">
        <v>296</v>
      </c>
    </row>
    <row r="219" spans="7:9" x14ac:dyDescent="0.25">
      <c r="G219" s="3">
        <f>1</f>
        <v>1</v>
      </c>
      <c r="H219" s="3" t="e">
        <f>Table1[[#This Row],[Fatalities (air)]]/Table1[[#This Row],[Aboard]]</f>
        <v>#DIV/0!</v>
      </c>
      <c r="I219" s="3" t="s">
        <v>296</v>
      </c>
    </row>
    <row r="220" spans="7:9" x14ac:dyDescent="0.25">
      <c r="G220" s="3">
        <f>1</f>
        <v>1</v>
      </c>
      <c r="H220" s="3" t="e">
        <f>Table1[[#This Row],[Fatalities (air)]]/Table1[[#This Row],[Aboard]]</f>
        <v>#DIV/0!</v>
      </c>
      <c r="I220" s="3" t="s">
        <v>296</v>
      </c>
    </row>
    <row r="221" spans="7:9" x14ac:dyDescent="0.25">
      <c r="G221" s="3">
        <f>1</f>
        <v>1</v>
      </c>
      <c r="H221" s="3" t="e">
        <f>Table1[[#This Row],[Fatalities (air)]]/Table1[[#This Row],[Aboard]]</f>
        <v>#DIV/0!</v>
      </c>
      <c r="I221" s="3" t="s">
        <v>296</v>
      </c>
    </row>
    <row r="222" spans="7:9" x14ac:dyDescent="0.25">
      <c r="G222" s="3">
        <f>1</f>
        <v>1</v>
      </c>
      <c r="H222" s="3" t="e">
        <f>Table1[[#This Row],[Fatalities (air)]]/Table1[[#This Row],[Aboard]]</f>
        <v>#DIV/0!</v>
      </c>
      <c r="I222" s="3" t="s">
        <v>295</v>
      </c>
    </row>
    <row r="223" spans="7:9" x14ac:dyDescent="0.25">
      <c r="G223" s="3">
        <f>1</f>
        <v>1</v>
      </c>
      <c r="H223" s="3" t="e">
        <f>Table1[[#This Row],[Fatalities (air)]]/Table1[[#This Row],[Aboard]]</f>
        <v>#DIV/0!</v>
      </c>
      <c r="I223" s="3" t="s">
        <v>295</v>
      </c>
    </row>
    <row r="224" spans="7:9" x14ac:dyDescent="0.25">
      <c r="G224" s="3">
        <f>1</f>
        <v>1</v>
      </c>
      <c r="H224" s="3" t="e">
        <f>Table1[[#This Row],[Fatalities (air)]]/Table1[[#This Row],[Aboard]]</f>
        <v>#DIV/0!</v>
      </c>
      <c r="I224" s="3" t="s">
        <v>295</v>
      </c>
    </row>
    <row r="225" spans="7:9" x14ac:dyDescent="0.25">
      <c r="G225" s="3">
        <f>1</f>
        <v>1</v>
      </c>
      <c r="H225" s="3" t="e">
        <f>Table1[[#This Row],[Fatalities (air)]]/Table1[[#This Row],[Aboard]]</f>
        <v>#DIV/0!</v>
      </c>
      <c r="I225" s="3" t="s">
        <v>295</v>
      </c>
    </row>
    <row r="226" spans="7:9" x14ac:dyDescent="0.25">
      <c r="G226" s="3">
        <f>1</f>
        <v>1</v>
      </c>
      <c r="H226" s="3" t="e">
        <f>Table1[[#This Row],[Fatalities (air)]]/Table1[[#This Row],[Aboard]]</f>
        <v>#DIV/0!</v>
      </c>
      <c r="I226" s="3" t="s">
        <v>295</v>
      </c>
    </row>
    <row r="227" spans="7:9" x14ac:dyDescent="0.25">
      <c r="G227" s="3">
        <f>1</f>
        <v>1</v>
      </c>
      <c r="H227" s="3" t="e">
        <f>Table1[[#This Row],[Fatalities (air)]]/Table1[[#This Row],[Aboard]]</f>
        <v>#DIV/0!</v>
      </c>
      <c r="I227" s="3" t="s">
        <v>295</v>
      </c>
    </row>
    <row r="228" spans="7:9" x14ac:dyDescent="0.25">
      <c r="G228" s="3">
        <f>1</f>
        <v>1</v>
      </c>
      <c r="H228" s="3" t="e">
        <f>Table1[[#This Row],[Fatalities (air)]]/Table1[[#This Row],[Aboard]]</f>
        <v>#DIV/0!</v>
      </c>
      <c r="I228" s="3" t="s">
        <v>295</v>
      </c>
    </row>
    <row r="229" spans="7:9" x14ac:dyDescent="0.25">
      <c r="G229" s="3">
        <f>1</f>
        <v>1</v>
      </c>
      <c r="H229" s="3" t="e">
        <f>Table1[[#This Row],[Fatalities (air)]]/Table1[[#This Row],[Aboard]]</f>
        <v>#DIV/0!</v>
      </c>
      <c r="I229" s="3" t="s">
        <v>295</v>
      </c>
    </row>
    <row r="230" spans="7:9" x14ac:dyDescent="0.25">
      <c r="G230" s="3">
        <f>1</f>
        <v>1</v>
      </c>
      <c r="H230" s="3" t="e">
        <f>Table1[[#This Row],[Fatalities (air)]]/Table1[[#This Row],[Aboard]]</f>
        <v>#DIV/0!</v>
      </c>
      <c r="I230" s="3" t="s">
        <v>295</v>
      </c>
    </row>
    <row r="231" spans="7:9" x14ac:dyDescent="0.25">
      <c r="G231" s="3">
        <f>1</f>
        <v>1</v>
      </c>
      <c r="H231" s="3" t="e">
        <f>Table1[[#This Row],[Fatalities (air)]]/Table1[[#This Row],[Aboard]]</f>
        <v>#DIV/0!</v>
      </c>
      <c r="I231" s="3" t="s">
        <v>295</v>
      </c>
    </row>
    <row r="232" spans="7:9" x14ac:dyDescent="0.25">
      <c r="G232" s="3">
        <f>1</f>
        <v>1</v>
      </c>
      <c r="H232" s="3" t="e">
        <f>Table1[[#This Row],[Fatalities (air)]]/Table1[[#This Row],[Aboard]]</f>
        <v>#DIV/0!</v>
      </c>
      <c r="I232" s="3" t="s">
        <v>295</v>
      </c>
    </row>
    <row r="233" spans="7:9" x14ac:dyDescent="0.25">
      <c r="G233" s="3">
        <f>1</f>
        <v>1</v>
      </c>
      <c r="H233" s="3" t="e">
        <f>Table1[[#This Row],[Fatalities (air)]]/Table1[[#This Row],[Aboard]]</f>
        <v>#DIV/0!</v>
      </c>
      <c r="I233" s="3" t="s">
        <v>297</v>
      </c>
    </row>
    <row r="234" spans="7:9" x14ac:dyDescent="0.25">
      <c r="G234" s="3">
        <f>1</f>
        <v>1</v>
      </c>
      <c r="H234" s="3" t="e">
        <f>Table1[[#This Row],[Fatalities (air)]]/Table1[[#This Row],[Aboard]]</f>
        <v>#DIV/0!</v>
      </c>
      <c r="I234" s="3" t="s">
        <v>297</v>
      </c>
    </row>
    <row r="235" spans="7:9" x14ac:dyDescent="0.25">
      <c r="G235" s="3">
        <f>1</f>
        <v>1</v>
      </c>
      <c r="H235" s="3" t="e">
        <f>Table1[[#This Row],[Fatalities (air)]]/Table1[[#This Row],[Aboard]]</f>
        <v>#DIV/0!</v>
      </c>
      <c r="I235" s="3" t="s">
        <v>294</v>
      </c>
    </row>
    <row r="236" spans="7:9" x14ac:dyDescent="0.25">
      <c r="G236" s="3">
        <f>1</f>
        <v>1</v>
      </c>
      <c r="H236" s="3" t="e">
        <f>Table1[[#This Row],[Fatalities (air)]]/Table1[[#This Row],[Aboard]]</f>
        <v>#DIV/0!</v>
      </c>
      <c r="I236" s="3" t="s">
        <v>294</v>
      </c>
    </row>
    <row r="237" spans="7:9" x14ac:dyDescent="0.25">
      <c r="G237" s="3">
        <f>1</f>
        <v>1</v>
      </c>
      <c r="H237" s="3" t="e">
        <f>Table1[[#This Row],[Fatalities (air)]]/Table1[[#This Row],[Aboard]]</f>
        <v>#DIV/0!</v>
      </c>
      <c r="I237" s="3" t="s">
        <v>294</v>
      </c>
    </row>
    <row r="238" spans="7:9" x14ac:dyDescent="0.25">
      <c r="G238" s="3">
        <f>1</f>
        <v>1</v>
      </c>
      <c r="H238" s="3" t="e">
        <f>Table1[[#This Row],[Fatalities (air)]]/Table1[[#This Row],[Aboard]]</f>
        <v>#DIV/0!</v>
      </c>
      <c r="I238" s="3" t="s">
        <v>294</v>
      </c>
    </row>
    <row r="239" spans="7:9" x14ac:dyDescent="0.25">
      <c r="G239" s="3">
        <f>1</f>
        <v>1</v>
      </c>
      <c r="H239" s="3" t="e">
        <f>Table1[[#This Row],[Fatalities (air)]]/Table1[[#This Row],[Aboard]]</f>
        <v>#DIV/0!</v>
      </c>
      <c r="I239" s="3" t="s">
        <v>294</v>
      </c>
    </row>
    <row r="240" spans="7:9" x14ac:dyDescent="0.25">
      <c r="G240" s="3">
        <f>1</f>
        <v>1</v>
      </c>
      <c r="H240" s="3" t="e">
        <f>Table1[[#This Row],[Fatalities (air)]]/Table1[[#This Row],[Aboard]]</f>
        <v>#DIV/0!</v>
      </c>
      <c r="I240" s="3" t="s">
        <v>294</v>
      </c>
    </row>
    <row r="241" spans="7:9" x14ac:dyDescent="0.25">
      <c r="G241" s="3">
        <f>1</f>
        <v>1</v>
      </c>
      <c r="H241" s="3" t="e">
        <f>Table1[[#This Row],[Fatalities (air)]]/Table1[[#This Row],[Aboard]]</f>
        <v>#DIV/0!</v>
      </c>
      <c r="I241" s="3" t="s">
        <v>294</v>
      </c>
    </row>
    <row r="242" spans="7:9" x14ac:dyDescent="0.25">
      <c r="G242" s="3">
        <f>1</f>
        <v>1</v>
      </c>
      <c r="H242" s="3" t="e">
        <f>Table1[[#This Row],[Fatalities (air)]]/Table1[[#This Row],[Aboard]]</f>
        <v>#DIV/0!</v>
      </c>
      <c r="I242" s="3" t="s">
        <v>294</v>
      </c>
    </row>
    <row r="243" spans="7:9" x14ac:dyDescent="0.25">
      <c r="G243" s="3">
        <f>1</f>
        <v>1</v>
      </c>
      <c r="H243" s="3" t="e">
        <f>Table1[[#This Row],[Fatalities (air)]]/Table1[[#This Row],[Aboard]]</f>
        <v>#DIV/0!</v>
      </c>
      <c r="I243" s="3" t="s">
        <v>294</v>
      </c>
    </row>
    <row r="244" spans="7:9" x14ac:dyDescent="0.25">
      <c r="G244" s="3">
        <f>1</f>
        <v>1</v>
      </c>
      <c r="H244" s="3" t="e">
        <f>Table1[[#This Row],[Fatalities (air)]]/Table1[[#This Row],[Aboard]]</f>
        <v>#DIV/0!</v>
      </c>
      <c r="I244" s="3" t="s">
        <v>294</v>
      </c>
    </row>
    <row r="245" spans="7:9" x14ac:dyDescent="0.25">
      <c r="G245" s="3">
        <f>1</f>
        <v>1</v>
      </c>
      <c r="H245" s="3" t="e">
        <f>Table1[[#This Row],[Fatalities (air)]]/Table1[[#This Row],[Aboard]]</f>
        <v>#DIV/0!</v>
      </c>
      <c r="I245" s="3" t="s">
        <v>294</v>
      </c>
    </row>
    <row r="246" spans="7:9" x14ac:dyDescent="0.25">
      <c r="G246" s="3">
        <f>1</f>
        <v>1</v>
      </c>
      <c r="H246" s="3" t="e">
        <f>Table1[[#This Row],[Fatalities (air)]]/Table1[[#This Row],[Aboard]]</f>
        <v>#DIV/0!</v>
      </c>
      <c r="I246" s="3" t="s">
        <v>294</v>
      </c>
    </row>
    <row r="247" spans="7:9" x14ac:dyDescent="0.25">
      <c r="G247" s="3">
        <f>1</f>
        <v>1</v>
      </c>
      <c r="H247" s="3" t="e">
        <f>Table1[[#This Row],[Fatalities (air)]]/Table1[[#This Row],[Aboard]]</f>
        <v>#DIV/0!</v>
      </c>
      <c r="I247" s="3" t="s">
        <v>294</v>
      </c>
    </row>
    <row r="248" spans="7:9" x14ac:dyDescent="0.25">
      <c r="G248" s="3">
        <f>1</f>
        <v>1</v>
      </c>
      <c r="H248" s="3" t="e">
        <f>Table1[[#This Row],[Fatalities (air)]]/Table1[[#This Row],[Aboard]]</f>
        <v>#DIV/0!</v>
      </c>
      <c r="I248" s="3" t="s">
        <v>294</v>
      </c>
    </row>
    <row r="249" spans="7:9" x14ac:dyDescent="0.25">
      <c r="G249" s="3">
        <f>1</f>
        <v>1</v>
      </c>
      <c r="H249" s="3" t="e">
        <f>Table1[[#This Row],[Fatalities (air)]]/Table1[[#This Row],[Aboard]]</f>
        <v>#DIV/0!</v>
      </c>
      <c r="I249" s="3" t="s">
        <v>294</v>
      </c>
    </row>
    <row r="250" spans="7:9" x14ac:dyDescent="0.25">
      <c r="G250" s="3">
        <f>1</f>
        <v>1</v>
      </c>
      <c r="H250" s="3" t="e">
        <f>Table1[[#This Row],[Fatalities (air)]]/Table1[[#This Row],[Aboard]]</f>
        <v>#DIV/0!</v>
      </c>
      <c r="I250" s="3" t="s">
        <v>295</v>
      </c>
    </row>
    <row r="251" spans="7:9" x14ac:dyDescent="0.25">
      <c r="G251" s="3">
        <f>1</f>
        <v>1</v>
      </c>
      <c r="H251" s="3" t="e">
        <f>Table1[[#This Row],[Fatalities (air)]]/Table1[[#This Row],[Aboard]]</f>
        <v>#DIV/0!</v>
      </c>
      <c r="I251" s="3" t="s">
        <v>295</v>
      </c>
    </row>
    <row r="252" spans="7:9" x14ac:dyDescent="0.25">
      <c r="G252" s="3">
        <f>1</f>
        <v>1</v>
      </c>
      <c r="H252" s="3" t="e">
        <f>Table1[[#This Row],[Fatalities (air)]]/Table1[[#This Row],[Aboard]]</f>
        <v>#DIV/0!</v>
      </c>
      <c r="I252" s="3" t="s">
        <v>295</v>
      </c>
    </row>
    <row r="253" spans="7:9" x14ac:dyDescent="0.25">
      <c r="G253" s="3">
        <f>1</f>
        <v>1</v>
      </c>
      <c r="H253" s="3" t="e">
        <f>Table1[[#This Row],[Fatalities (air)]]/Table1[[#This Row],[Aboard]]</f>
        <v>#DIV/0!</v>
      </c>
      <c r="I253" s="3" t="s">
        <v>297</v>
      </c>
    </row>
    <row r="254" spans="7:9" x14ac:dyDescent="0.25">
      <c r="G254" s="3">
        <f>1</f>
        <v>1</v>
      </c>
      <c r="H254" s="3" t="e">
        <f>Table1[[#This Row],[Fatalities (air)]]/Table1[[#This Row],[Aboard]]</f>
        <v>#DIV/0!</v>
      </c>
      <c r="I254" s="3" t="s">
        <v>294</v>
      </c>
    </row>
    <row r="255" spans="7:9" x14ac:dyDescent="0.25">
      <c r="G255" s="3">
        <f>1</f>
        <v>1</v>
      </c>
      <c r="H255" s="3" t="e">
        <f>Table1[[#This Row],[Fatalities (air)]]/Table1[[#This Row],[Aboard]]</f>
        <v>#DIV/0!</v>
      </c>
      <c r="I255" s="3" t="s">
        <v>294</v>
      </c>
    </row>
    <row r="256" spans="7:9" x14ac:dyDescent="0.25">
      <c r="G256" s="3">
        <f>1</f>
        <v>1</v>
      </c>
      <c r="H256" s="3" t="e">
        <f>Table1[[#This Row],[Fatalities (air)]]/Table1[[#This Row],[Aboard]]</f>
        <v>#DIV/0!</v>
      </c>
      <c r="I256" s="3" t="s">
        <v>295</v>
      </c>
    </row>
    <row r="257" spans="7:9" x14ac:dyDescent="0.25">
      <c r="G257" s="3">
        <f>1</f>
        <v>1</v>
      </c>
      <c r="H257" s="3" t="e">
        <f>Table1[[#This Row],[Fatalities (air)]]/Table1[[#This Row],[Aboard]]</f>
        <v>#DIV/0!</v>
      </c>
      <c r="I257" s="3" t="s">
        <v>295</v>
      </c>
    </row>
    <row r="258" spans="7:9" x14ac:dyDescent="0.25">
      <c r="G258" s="3">
        <f>1</f>
        <v>1</v>
      </c>
      <c r="H258" s="3" t="e">
        <f>Table1[[#This Row],[Fatalities (air)]]/Table1[[#This Row],[Aboard]]</f>
        <v>#DIV/0!</v>
      </c>
      <c r="I258" s="3" t="s">
        <v>295</v>
      </c>
    </row>
    <row r="259" spans="7:9" x14ac:dyDescent="0.25">
      <c r="G259" s="3">
        <f>1</f>
        <v>1</v>
      </c>
      <c r="H259" s="3" t="e">
        <f>Table1[[#This Row],[Fatalities (air)]]/Table1[[#This Row],[Aboard]]</f>
        <v>#DIV/0!</v>
      </c>
      <c r="I259" s="3" t="s">
        <v>295</v>
      </c>
    </row>
    <row r="260" spans="7:9" x14ac:dyDescent="0.25">
      <c r="G260" s="3">
        <f>1</f>
        <v>1</v>
      </c>
      <c r="H260" s="3" t="e">
        <f>Table1[[#This Row],[Fatalities (air)]]/Table1[[#This Row],[Aboard]]</f>
        <v>#DIV/0!</v>
      </c>
      <c r="I260" s="3" t="s">
        <v>295</v>
      </c>
    </row>
    <row r="261" spans="7:9" x14ac:dyDescent="0.25">
      <c r="G261" s="3">
        <f>1</f>
        <v>1</v>
      </c>
      <c r="H261" s="3" t="e">
        <f>Table1[[#This Row],[Fatalities (air)]]/Table1[[#This Row],[Aboard]]</f>
        <v>#DIV/0!</v>
      </c>
      <c r="I261" s="3" t="s">
        <v>295</v>
      </c>
    </row>
    <row r="262" spans="7:9" x14ac:dyDescent="0.25">
      <c r="G262" s="3">
        <f>1</f>
        <v>1</v>
      </c>
      <c r="H262" s="3" t="e">
        <f>Table1[[#This Row],[Fatalities (air)]]/Table1[[#This Row],[Aboard]]</f>
        <v>#DIV/0!</v>
      </c>
      <c r="I262" s="3" t="s">
        <v>295</v>
      </c>
    </row>
    <row r="263" spans="7:9" x14ac:dyDescent="0.25">
      <c r="G263" s="3">
        <f>1</f>
        <v>1</v>
      </c>
      <c r="H263" s="3" t="e">
        <f>Table1[[#This Row],[Fatalities (air)]]/Table1[[#This Row],[Aboard]]</f>
        <v>#DIV/0!</v>
      </c>
      <c r="I263" s="3" t="s">
        <v>295</v>
      </c>
    </row>
    <row r="264" spans="7:9" x14ac:dyDescent="0.25">
      <c r="G264" s="3">
        <f>1</f>
        <v>1</v>
      </c>
      <c r="H264" s="3" t="e">
        <f>Table1[[#This Row],[Fatalities (air)]]/Table1[[#This Row],[Aboard]]</f>
        <v>#DIV/0!</v>
      </c>
      <c r="I264" s="3" t="s">
        <v>295</v>
      </c>
    </row>
    <row r="265" spans="7:9" x14ac:dyDescent="0.25">
      <c r="G265" s="3">
        <f>1</f>
        <v>1</v>
      </c>
      <c r="H265" s="3" t="e">
        <f>Table1[[#This Row],[Fatalities (air)]]/Table1[[#This Row],[Aboard]]</f>
        <v>#DIV/0!</v>
      </c>
      <c r="I265" s="3" t="s">
        <v>295</v>
      </c>
    </row>
    <row r="266" spans="7:9" x14ac:dyDescent="0.25">
      <c r="G266" s="3">
        <f>1</f>
        <v>1</v>
      </c>
      <c r="H266" s="3" t="e">
        <f>Table1[[#This Row],[Fatalities (air)]]/Table1[[#This Row],[Aboard]]</f>
        <v>#DIV/0!</v>
      </c>
      <c r="I266" s="3" t="s">
        <v>295</v>
      </c>
    </row>
    <row r="267" spans="7:9" x14ac:dyDescent="0.25">
      <c r="G267" s="3">
        <f>1</f>
        <v>1</v>
      </c>
      <c r="H267" s="3" t="e">
        <f>Table1[[#This Row],[Fatalities (air)]]/Table1[[#This Row],[Aboard]]</f>
        <v>#DIV/0!</v>
      </c>
      <c r="I267" s="3" t="s">
        <v>295</v>
      </c>
    </row>
    <row r="268" spans="7:9" x14ac:dyDescent="0.25">
      <c r="G268" s="3">
        <f>1</f>
        <v>1</v>
      </c>
      <c r="H268" s="3" t="e">
        <f>Table1[[#This Row],[Fatalities (air)]]/Table1[[#This Row],[Aboard]]</f>
        <v>#DIV/0!</v>
      </c>
      <c r="I268" s="3" t="s">
        <v>295</v>
      </c>
    </row>
    <row r="269" spans="7:9" x14ac:dyDescent="0.25">
      <c r="G269" s="3">
        <f>1</f>
        <v>1</v>
      </c>
      <c r="H269" s="3" t="e">
        <f>Table1[[#This Row],[Fatalities (air)]]/Table1[[#This Row],[Aboard]]</f>
        <v>#DIV/0!</v>
      </c>
      <c r="I269" s="3" t="s">
        <v>296</v>
      </c>
    </row>
    <row r="270" spans="7:9" x14ac:dyDescent="0.25">
      <c r="G270" s="3">
        <f>1</f>
        <v>1</v>
      </c>
      <c r="H270" s="3" t="e">
        <f>Table1[[#This Row],[Fatalities (air)]]/Table1[[#This Row],[Aboard]]</f>
        <v>#DIV/0!</v>
      </c>
      <c r="I270" s="3" t="s">
        <v>296</v>
      </c>
    </row>
    <row r="271" spans="7:9" x14ac:dyDescent="0.25">
      <c r="G271" s="3">
        <f>1</f>
        <v>1</v>
      </c>
      <c r="H271" s="3" t="e">
        <f>Table1[[#This Row],[Fatalities (air)]]/Table1[[#This Row],[Aboard]]</f>
        <v>#DIV/0!</v>
      </c>
      <c r="I271" s="3" t="s">
        <v>296</v>
      </c>
    </row>
    <row r="272" spans="7:9" x14ac:dyDescent="0.25">
      <c r="G272" s="3">
        <f>1</f>
        <v>1</v>
      </c>
      <c r="H272" s="3" t="e">
        <f>Table1[[#This Row],[Fatalities (air)]]/Table1[[#This Row],[Aboard]]</f>
        <v>#DIV/0!</v>
      </c>
      <c r="I272" s="3" t="s">
        <v>296</v>
      </c>
    </row>
    <row r="273" spans="7:9" x14ac:dyDescent="0.25">
      <c r="G273" s="3">
        <f>1</f>
        <v>1</v>
      </c>
      <c r="H273" s="3" t="e">
        <f>Table1[[#This Row],[Fatalities (air)]]/Table1[[#This Row],[Aboard]]</f>
        <v>#DIV/0!</v>
      </c>
      <c r="I273" s="3" t="s">
        <v>296</v>
      </c>
    </row>
    <row r="274" spans="7:9" x14ac:dyDescent="0.25">
      <c r="G274" s="3">
        <f>1</f>
        <v>1</v>
      </c>
      <c r="H274" s="3" t="e">
        <f>Table1[[#This Row],[Fatalities (air)]]/Table1[[#This Row],[Aboard]]</f>
        <v>#DIV/0!</v>
      </c>
      <c r="I274" s="3" t="s">
        <v>296</v>
      </c>
    </row>
    <row r="275" spans="7:9" x14ac:dyDescent="0.25">
      <c r="G275" s="3">
        <f>1</f>
        <v>1</v>
      </c>
      <c r="H275" s="3" t="e">
        <f>Table1[[#This Row],[Fatalities (air)]]/Table1[[#This Row],[Aboard]]</f>
        <v>#DIV/0!</v>
      </c>
      <c r="I275" s="3" t="s">
        <v>296</v>
      </c>
    </row>
    <row r="276" spans="7:9" x14ac:dyDescent="0.25">
      <c r="G276" s="3">
        <f>1</f>
        <v>1</v>
      </c>
      <c r="H276" s="3" t="e">
        <f>Table1[[#This Row],[Fatalities (air)]]/Table1[[#This Row],[Aboard]]</f>
        <v>#DIV/0!</v>
      </c>
      <c r="I276" s="3" t="s">
        <v>296</v>
      </c>
    </row>
    <row r="277" spans="7:9" x14ac:dyDescent="0.25">
      <c r="G277" s="3">
        <f>1</f>
        <v>1</v>
      </c>
      <c r="H277" s="3" t="e">
        <f>Table1[[#This Row],[Fatalities (air)]]/Table1[[#This Row],[Aboard]]</f>
        <v>#DIV/0!</v>
      </c>
      <c r="I277" s="3" t="s">
        <v>296</v>
      </c>
    </row>
    <row r="278" spans="7:9" x14ac:dyDescent="0.25">
      <c r="G278" s="3">
        <f>1</f>
        <v>1</v>
      </c>
      <c r="H278" s="3" t="e">
        <f>Table1[[#This Row],[Fatalities (air)]]/Table1[[#This Row],[Aboard]]</f>
        <v>#DIV/0!</v>
      </c>
      <c r="I278" s="3" t="s">
        <v>296</v>
      </c>
    </row>
    <row r="279" spans="7:9" x14ac:dyDescent="0.25">
      <c r="G279" s="3">
        <f>1</f>
        <v>1</v>
      </c>
      <c r="H279" s="3" t="e">
        <f>Table1[[#This Row],[Fatalities (air)]]/Table1[[#This Row],[Aboard]]</f>
        <v>#DIV/0!</v>
      </c>
      <c r="I279" s="3" t="s">
        <v>296</v>
      </c>
    </row>
    <row r="280" spans="7:9" x14ac:dyDescent="0.25">
      <c r="G280" s="3">
        <f>1</f>
        <v>1</v>
      </c>
      <c r="H280" s="3" t="e">
        <f>Table1[[#This Row],[Fatalities (air)]]/Table1[[#This Row],[Aboard]]</f>
        <v>#DIV/0!</v>
      </c>
      <c r="I280" s="3" t="s">
        <v>296</v>
      </c>
    </row>
    <row r="281" spans="7:9" x14ac:dyDescent="0.25">
      <c r="G281" s="3">
        <f>1</f>
        <v>1</v>
      </c>
      <c r="H281" s="3" t="e">
        <f>Table1[[#This Row],[Fatalities (air)]]/Table1[[#This Row],[Aboard]]</f>
        <v>#DIV/0!</v>
      </c>
      <c r="I281" s="3" t="s">
        <v>295</v>
      </c>
    </row>
    <row r="282" spans="7:9" x14ac:dyDescent="0.25">
      <c r="G282" s="3">
        <f>1</f>
        <v>1</v>
      </c>
      <c r="H282" s="3" t="e">
        <f>Table1[[#This Row],[Fatalities (air)]]/Table1[[#This Row],[Aboard]]</f>
        <v>#DIV/0!</v>
      </c>
      <c r="I282" s="3" t="s">
        <v>295</v>
      </c>
    </row>
    <row r="283" spans="7:9" x14ac:dyDescent="0.25">
      <c r="G283" s="3">
        <f>1</f>
        <v>1</v>
      </c>
      <c r="H283" s="3" t="e">
        <f>Table1[[#This Row],[Fatalities (air)]]/Table1[[#This Row],[Aboard]]</f>
        <v>#DIV/0!</v>
      </c>
      <c r="I283" s="3" t="s">
        <v>295</v>
      </c>
    </row>
    <row r="284" spans="7:9" x14ac:dyDescent="0.25">
      <c r="G284" s="3">
        <f>1</f>
        <v>1</v>
      </c>
      <c r="H284" s="3" t="e">
        <f>Table1[[#This Row],[Fatalities (air)]]/Table1[[#This Row],[Aboard]]</f>
        <v>#DIV/0!</v>
      </c>
      <c r="I284" s="3" t="s">
        <v>295</v>
      </c>
    </row>
    <row r="285" spans="7:9" x14ac:dyDescent="0.25">
      <c r="G285" s="3">
        <f>1</f>
        <v>1</v>
      </c>
      <c r="H285" s="3" t="e">
        <f>Table1[[#This Row],[Fatalities (air)]]/Table1[[#This Row],[Aboard]]</f>
        <v>#DIV/0!</v>
      </c>
      <c r="I285" s="3" t="s">
        <v>295</v>
      </c>
    </row>
    <row r="286" spans="7:9" x14ac:dyDescent="0.25">
      <c r="G286" s="3">
        <f>1</f>
        <v>1</v>
      </c>
      <c r="H286" s="3" t="e">
        <f>Table1[[#This Row],[Fatalities (air)]]/Table1[[#This Row],[Aboard]]</f>
        <v>#DIV/0!</v>
      </c>
      <c r="I286" s="3" t="s">
        <v>295</v>
      </c>
    </row>
    <row r="287" spans="7:9" x14ac:dyDescent="0.25">
      <c r="G287" s="3">
        <f>1</f>
        <v>1</v>
      </c>
      <c r="H287" s="3" t="e">
        <f>Table1[[#This Row],[Fatalities (air)]]/Table1[[#This Row],[Aboard]]</f>
        <v>#DIV/0!</v>
      </c>
      <c r="I287" s="3" t="s">
        <v>295</v>
      </c>
    </row>
    <row r="288" spans="7:9" x14ac:dyDescent="0.25">
      <c r="G288" s="3">
        <f>1</f>
        <v>1</v>
      </c>
      <c r="H288" s="3" t="e">
        <f>Table1[[#This Row],[Fatalities (air)]]/Table1[[#This Row],[Aboard]]</f>
        <v>#DIV/0!</v>
      </c>
      <c r="I288" s="3" t="s">
        <v>295</v>
      </c>
    </row>
    <row r="289" spans="7:9" x14ac:dyDescent="0.25">
      <c r="G289" s="3">
        <f>1</f>
        <v>1</v>
      </c>
      <c r="H289" s="3" t="e">
        <f>Table1[[#This Row],[Fatalities (air)]]/Table1[[#This Row],[Aboard]]</f>
        <v>#DIV/0!</v>
      </c>
      <c r="I289" s="3" t="s">
        <v>295</v>
      </c>
    </row>
    <row r="290" spans="7:9" x14ac:dyDescent="0.25">
      <c r="G290" s="3">
        <f>1</f>
        <v>1</v>
      </c>
      <c r="H290" s="3" t="e">
        <f>Table1[[#This Row],[Fatalities (air)]]/Table1[[#This Row],[Aboard]]</f>
        <v>#DIV/0!</v>
      </c>
      <c r="I290" s="3" t="s">
        <v>295</v>
      </c>
    </row>
    <row r="291" spans="7:9" x14ac:dyDescent="0.25">
      <c r="G291" s="3">
        <f>1</f>
        <v>1</v>
      </c>
      <c r="H291" s="3" t="e">
        <f>Table1[[#This Row],[Fatalities (air)]]/Table1[[#This Row],[Aboard]]</f>
        <v>#DIV/0!</v>
      </c>
      <c r="I291" s="3" t="s">
        <v>295</v>
      </c>
    </row>
    <row r="292" spans="7:9" x14ac:dyDescent="0.25">
      <c r="G292" s="3">
        <f>1</f>
        <v>1</v>
      </c>
      <c r="H292" s="3" t="e">
        <f>Table1[[#This Row],[Fatalities (air)]]/Table1[[#This Row],[Aboard]]</f>
        <v>#DIV/0!</v>
      </c>
      <c r="I292" s="3" t="s">
        <v>295</v>
      </c>
    </row>
    <row r="293" spans="7:9" x14ac:dyDescent="0.25">
      <c r="G293" s="3">
        <f>1</f>
        <v>1</v>
      </c>
      <c r="H293" s="3" t="e">
        <f>Table1[[#This Row],[Fatalities (air)]]/Table1[[#This Row],[Aboard]]</f>
        <v>#DIV/0!</v>
      </c>
      <c r="I293" s="3" t="s">
        <v>295</v>
      </c>
    </row>
    <row r="294" spans="7:9" x14ac:dyDescent="0.25">
      <c r="G294" s="3">
        <f>1</f>
        <v>1</v>
      </c>
      <c r="H294" s="3" t="e">
        <f>Table1[[#This Row],[Fatalities (air)]]/Table1[[#This Row],[Aboard]]</f>
        <v>#DIV/0!</v>
      </c>
      <c r="I294" s="3" t="s">
        <v>295</v>
      </c>
    </row>
    <row r="295" spans="7:9" x14ac:dyDescent="0.25">
      <c r="G295" s="3">
        <f>1</f>
        <v>1</v>
      </c>
      <c r="H295" s="3" t="e">
        <f>Table1[[#This Row],[Fatalities (air)]]/Table1[[#This Row],[Aboard]]</f>
        <v>#DIV/0!</v>
      </c>
      <c r="I295" s="3" t="s">
        <v>295</v>
      </c>
    </row>
    <row r="296" spans="7:9" x14ac:dyDescent="0.25">
      <c r="G296" s="3">
        <f>1</f>
        <v>1</v>
      </c>
      <c r="H296" s="3" t="e">
        <f>Table1[[#This Row],[Fatalities (air)]]/Table1[[#This Row],[Aboard]]</f>
        <v>#DIV/0!</v>
      </c>
      <c r="I296" s="3" t="s">
        <v>295</v>
      </c>
    </row>
    <row r="297" spans="7:9" x14ac:dyDescent="0.25">
      <c r="G297" s="3">
        <f>1</f>
        <v>1</v>
      </c>
      <c r="H297" s="3" t="e">
        <f>Table1[[#This Row],[Fatalities (air)]]/Table1[[#This Row],[Aboard]]</f>
        <v>#DIV/0!</v>
      </c>
      <c r="I297" s="3" t="s">
        <v>295</v>
      </c>
    </row>
    <row r="298" spans="7:9" x14ac:dyDescent="0.25">
      <c r="G298" s="3">
        <f>1</f>
        <v>1</v>
      </c>
      <c r="H298" s="3" t="e">
        <f>Table1[[#This Row],[Fatalities (air)]]/Table1[[#This Row],[Aboard]]</f>
        <v>#DIV/0!</v>
      </c>
      <c r="I298" s="3" t="s">
        <v>297</v>
      </c>
    </row>
    <row r="299" spans="7:9" x14ac:dyDescent="0.25">
      <c r="G299" s="3">
        <f>1</f>
        <v>1</v>
      </c>
      <c r="H299" s="3" t="e">
        <f>Table1[[#This Row],[Fatalities (air)]]/Table1[[#This Row],[Aboard]]</f>
        <v>#DIV/0!</v>
      </c>
      <c r="I299" s="3" t="s">
        <v>297</v>
      </c>
    </row>
    <row r="300" spans="7:9" x14ac:dyDescent="0.25">
      <c r="G300" s="3">
        <f>1</f>
        <v>1</v>
      </c>
      <c r="H300" s="3" t="e">
        <f>Table1[[#This Row],[Fatalities (air)]]/Table1[[#This Row],[Aboard]]</f>
        <v>#DIV/0!</v>
      </c>
      <c r="I300" s="3" t="s">
        <v>297</v>
      </c>
    </row>
    <row r="301" spans="7:9" x14ac:dyDescent="0.25">
      <c r="G301" s="3">
        <f>1</f>
        <v>1</v>
      </c>
      <c r="H301" s="3" t="e">
        <f>Table1[[#This Row],[Fatalities (air)]]/Table1[[#This Row],[Aboard]]</f>
        <v>#DIV/0!</v>
      </c>
      <c r="I301" s="3" t="s">
        <v>294</v>
      </c>
    </row>
    <row r="302" spans="7:9" x14ac:dyDescent="0.25">
      <c r="G302" s="3">
        <f>1</f>
        <v>1</v>
      </c>
      <c r="H302" s="3" t="e">
        <f>Table1[[#This Row],[Fatalities (air)]]/Table1[[#This Row],[Aboard]]</f>
        <v>#DIV/0!</v>
      </c>
      <c r="I302" s="3" t="s">
        <v>294</v>
      </c>
    </row>
    <row r="303" spans="7:9" x14ac:dyDescent="0.25">
      <c r="G303" s="3">
        <f>1</f>
        <v>1</v>
      </c>
      <c r="H303" s="3" t="e">
        <f>Table1[[#This Row],[Fatalities (air)]]/Table1[[#This Row],[Aboard]]</f>
        <v>#DIV/0!</v>
      </c>
      <c r="I303" s="3" t="s">
        <v>294</v>
      </c>
    </row>
    <row r="304" spans="7:9" x14ac:dyDescent="0.25">
      <c r="G304" s="3">
        <f>1</f>
        <v>1</v>
      </c>
      <c r="H304" s="3" t="e">
        <f>Table1[[#This Row],[Fatalities (air)]]/Table1[[#This Row],[Aboard]]</f>
        <v>#DIV/0!</v>
      </c>
      <c r="I304" s="3" t="s">
        <v>294</v>
      </c>
    </row>
    <row r="305" spans="7:9" x14ac:dyDescent="0.25">
      <c r="G305" s="3">
        <f>1</f>
        <v>1</v>
      </c>
      <c r="H305" s="3" t="e">
        <f>Table1[[#This Row],[Fatalities (air)]]/Table1[[#This Row],[Aboard]]</f>
        <v>#DIV/0!</v>
      </c>
      <c r="I305" s="3" t="s">
        <v>294</v>
      </c>
    </row>
    <row r="306" spans="7:9" x14ac:dyDescent="0.25">
      <c r="G306" s="3">
        <f>1</f>
        <v>1</v>
      </c>
      <c r="H306" s="3" t="e">
        <f>Table1[[#This Row],[Fatalities (air)]]/Table1[[#This Row],[Aboard]]</f>
        <v>#DIV/0!</v>
      </c>
      <c r="I306" s="3" t="s">
        <v>294</v>
      </c>
    </row>
    <row r="307" spans="7:9" x14ac:dyDescent="0.25">
      <c r="G307" s="3">
        <f>1</f>
        <v>1</v>
      </c>
      <c r="H307" s="3" t="e">
        <f>Table1[[#This Row],[Fatalities (air)]]/Table1[[#This Row],[Aboard]]</f>
        <v>#DIV/0!</v>
      </c>
      <c r="I307" s="3" t="s">
        <v>294</v>
      </c>
    </row>
    <row r="308" spans="7:9" x14ac:dyDescent="0.25">
      <c r="G308" s="3">
        <f>1</f>
        <v>1</v>
      </c>
      <c r="H308" s="3" t="e">
        <f>Table1[[#This Row],[Fatalities (air)]]/Table1[[#This Row],[Aboard]]</f>
        <v>#DIV/0!</v>
      </c>
      <c r="I308" s="3" t="s">
        <v>294</v>
      </c>
    </row>
    <row r="309" spans="7:9" x14ac:dyDescent="0.25">
      <c r="G309" s="3">
        <f>1</f>
        <v>1</v>
      </c>
      <c r="H309" s="3" t="e">
        <f>Table1[[#This Row],[Fatalities (air)]]/Table1[[#This Row],[Aboard]]</f>
        <v>#DIV/0!</v>
      </c>
      <c r="I309" s="3" t="s">
        <v>294</v>
      </c>
    </row>
    <row r="310" spans="7:9" x14ac:dyDescent="0.25">
      <c r="G310" s="3">
        <f>1</f>
        <v>1</v>
      </c>
      <c r="H310" s="3" t="e">
        <f>Table1[[#This Row],[Fatalities (air)]]/Table1[[#This Row],[Aboard]]</f>
        <v>#DIV/0!</v>
      </c>
      <c r="I310" s="3" t="s">
        <v>294</v>
      </c>
    </row>
    <row r="311" spans="7:9" x14ac:dyDescent="0.25">
      <c r="G311" s="3">
        <f>1</f>
        <v>1</v>
      </c>
      <c r="H311" s="3" t="e">
        <f>Table1[[#This Row],[Fatalities (air)]]/Table1[[#This Row],[Aboard]]</f>
        <v>#DIV/0!</v>
      </c>
      <c r="I311" s="3" t="s">
        <v>294</v>
      </c>
    </row>
    <row r="312" spans="7:9" x14ac:dyDescent="0.25">
      <c r="G312" s="3">
        <f>1</f>
        <v>1</v>
      </c>
      <c r="H312" s="3" t="e">
        <f>Table1[[#This Row],[Fatalities (air)]]/Table1[[#This Row],[Aboard]]</f>
        <v>#DIV/0!</v>
      </c>
      <c r="I312" s="3" t="s">
        <v>294</v>
      </c>
    </row>
    <row r="313" spans="7:9" x14ac:dyDescent="0.25">
      <c r="G313" s="3">
        <f>1</f>
        <v>1</v>
      </c>
      <c r="H313" s="3" t="e">
        <f>Table1[[#This Row],[Fatalities (air)]]/Table1[[#This Row],[Aboard]]</f>
        <v>#DIV/0!</v>
      </c>
      <c r="I313" s="3" t="s">
        <v>294</v>
      </c>
    </row>
    <row r="314" spans="7:9" x14ac:dyDescent="0.25">
      <c r="G314" s="3">
        <f>1</f>
        <v>1</v>
      </c>
      <c r="H314" s="3" t="e">
        <f>Table1[[#This Row],[Fatalities (air)]]/Table1[[#This Row],[Aboard]]</f>
        <v>#DIV/0!</v>
      </c>
      <c r="I314" s="3" t="s">
        <v>294</v>
      </c>
    </row>
    <row r="315" spans="7:9" x14ac:dyDescent="0.25">
      <c r="G315" s="3">
        <f>1</f>
        <v>1</v>
      </c>
      <c r="H315" s="3" t="e">
        <f>Table1[[#This Row],[Fatalities (air)]]/Table1[[#This Row],[Aboard]]</f>
        <v>#DIV/0!</v>
      </c>
      <c r="I315" s="3" t="s">
        <v>294</v>
      </c>
    </row>
    <row r="316" spans="7:9" x14ac:dyDescent="0.25">
      <c r="G316" s="3">
        <f>1</f>
        <v>1</v>
      </c>
      <c r="H316" s="3" t="e">
        <f>Table1[[#This Row],[Fatalities (air)]]/Table1[[#This Row],[Aboard]]</f>
        <v>#DIV/0!</v>
      </c>
      <c r="I316" s="3" t="s">
        <v>294</v>
      </c>
    </row>
    <row r="317" spans="7:9" x14ac:dyDescent="0.25">
      <c r="G317" s="3">
        <f>1</f>
        <v>1</v>
      </c>
      <c r="H317" s="3" t="e">
        <f>Table1[[#This Row],[Fatalities (air)]]/Table1[[#This Row],[Aboard]]</f>
        <v>#DIV/0!</v>
      </c>
      <c r="I317" s="3" t="s">
        <v>294</v>
      </c>
    </row>
    <row r="318" spans="7:9" x14ac:dyDescent="0.25">
      <c r="G318" s="3">
        <f>1</f>
        <v>1</v>
      </c>
      <c r="H318" s="3" t="e">
        <f>Table1[[#This Row],[Fatalities (air)]]/Table1[[#This Row],[Aboard]]</f>
        <v>#DIV/0!</v>
      </c>
      <c r="I318" s="3" t="s">
        <v>297</v>
      </c>
    </row>
    <row r="319" spans="7:9" x14ac:dyDescent="0.25">
      <c r="G319" s="3">
        <f>1</f>
        <v>1</v>
      </c>
      <c r="H319" s="3" t="e">
        <f>Table1[[#This Row],[Fatalities (air)]]/Table1[[#This Row],[Aboard]]</f>
        <v>#DIV/0!</v>
      </c>
      <c r="I319" s="3" t="s">
        <v>295</v>
      </c>
    </row>
    <row r="320" spans="7:9" x14ac:dyDescent="0.25">
      <c r="G320" s="3">
        <f>1</f>
        <v>1</v>
      </c>
      <c r="H320" s="3" t="e">
        <f>Table1[[#This Row],[Fatalities (air)]]/Table1[[#This Row],[Aboard]]</f>
        <v>#DIV/0!</v>
      </c>
      <c r="I320" s="3" t="s">
        <v>295</v>
      </c>
    </row>
    <row r="321" spans="7:9" x14ac:dyDescent="0.25">
      <c r="G321" s="3">
        <f>1</f>
        <v>1</v>
      </c>
      <c r="H321" s="3" t="e">
        <f>Table1[[#This Row],[Fatalities (air)]]/Table1[[#This Row],[Aboard]]</f>
        <v>#DIV/0!</v>
      </c>
      <c r="I321" s="3" t="s">
        <v>297</v>
      </c>
    </row>
    <row r="322" spans="7:9" x14ac:dyDescent="0.25">
      <c r="G322" s="3">
        <f>1</f>
        <v>1</v>
      </c>
      <c r="H322" s="3" t="e">
        <f>Table1[[#This Row],[Fatalities (air)]]/Table1[[#This Row],[Aboard]]</f>
        <v>#DIV/0!</v>
      </c>
      <c r="I322" s="3" t="s">
        <v>297</v>
      </c>
    </row>
    <row r="323" spans="7:9" x14ac:dyDescent="0.25">
      <c r="G323" s="3">
        <f>1</f>
        <v>1</v>
      </c>
      <c r="H323" s="3" t="e">
        <f>Table1[[#This Row],[Fatalities (air)]]/Table1[[#This Row],[Aboard]]</f>
        <v>#DIV/0!</v>
      </c>
      <c r="I323" s="3" t="s">
        <v>297</v>
      </c>
    </row>
    <row r="324" spans="7:9" x14ac:dyDescent="0.25">
      <c r="G324" s="3">
        <f>1</f>
        <v>1</v>
      </c>
      <c r="H324" s="3" t="e">
        <f>Table1[[#This Row],[Fatalities (air)]]/Table1[[#This Row],[Aboard]]</f>
        <v>#DIV/0!</v>
      </c>
      <c r="I324" s="3" t="s">
        <v>297</v>
      </c>
    </row>
    <row r="325" spans="7:9" x14ac:dyDescent="0.25">
      <c r="G325" s="3">
        <f>1</f>
        <v>1</v>
      </c>
      <c r="H325" s="3" t="e">
        <f>Table1[[#This Row],[Fatalities (air)]]/Table1[[#This Row],[Aboard]]</f>
        <v>#DIV/0!</v>
      </c>
      <c r="I325" s="3" t="s">
        <v>294</v>
      </c>
    </row>
    <row r="326" spans="7:9" x14ac:dyDescent="0.25">
      <c r="G326" s="3">
        <f>1</f>
        <v>1</v>
      </c>
      <c r="H326" s="3" t="e">
        <f>Table1[[#This Row],[Fatalities (air)]]/Table1[[#This Row],[Aboard]]</f>
        <v>#DIV/0!</v>
      </c>
      <c r="I326" s="3" t="s">
        <v>294</v>
      </c>
    </row>
    <row r="327" spans="7:9" x14ac:dyDescent="0.25">
      <c r="G327" s="3">
        <f>1</f>
        <v>1</v>
      </c>
      <c r="H327" s="3" t="e">
        <f>Table1[[#This Row],[Fatalities (air)]]/Table1[[#This Row],[Aboard]]</f>
        <v>#DIV/0!</v>
      </c>
      <c r="I327" s="3" t="s">
        <v>294</v>
      </c>
    </row>
    <row r="328" spans="7:9" x14ac:dyDescent="0.25">
      <c r="G328" s="3">
        <f>1</f>
        <v>1</v>
      </c>
      <c r="H328" s="3" t="e">
        <f>Table1[[#This Row],[Fatalities (air)]]/Table1[[#This Row],[Aboard]]</f>
        <v>#DIV/0!</v>
      </c>
      <c r="I328" s="3" t="s">
        <v>295</v>
      </c>
    </row>
    <row r="329" spans="7:9" x14ac:dyDescent="0.25">
      <c r="G329" s="3">
        <f>1</f>
        <v>1</v>
      </c>
      <c r="H329" s="3" t="e">
        <f>Table1[[#This Row],[Fatalities (air)]]/Table1[[#This Row],[Aboard]]</f>
        <v>#DIV/0!</v>
      </c>
      <c r="I329" s="3" t="s">
        <v>295</v>
      </c>
    </row>
    <row r="330" spans="7:9" x14ac:dyDescent="0.25">
      <c r="G330" s="3">
        <f>1</f>
        <v>1</v>
      </c>
      <c r="H330" s="3" t="e">
        <f>Table1[[#This Row],[Fatalities (air)]]/Table1[[#This Row],[Aboard]]</f>
        <v>#DIV/0!</v>
      </c>
      <c r="I330" s="3" t="s">
        <v>295</v>
      </c>
    </row>
    <row r="331" spans="7:9" x14ac:dyDescent="0.25">
      <c r="G331" s="3">
        <f>1</f>
        <v>1</v>
      </c>
      <c r="H331" s="3" t="e">
        <f>Table1[[#This Row],[Fatalities (air)]]/Table1[[#This Row],[Aboard]]</f>
        <v>#DIV/0!</v>
      </c>
      <c r="I331" s="3" t="s">
        <v>295</v>
      </c>
    </row>
    <row r="332" spans="7:9" x14ac:dyDescent="0.25">
      <c r="G332" s="3">
        <f>1</f>
        <v>1</v>
      </c>
      <c r="H332" s="3" t="e">
        <f>Table1[[#This Row],[Fatalities (air)]]/Table1[[#This Row],[Aboard]]</f>
        <v>#DIV/0!</v>
      </c>
      <c r="I332" s="3" t="s">
        <v>295</v>
      </c>
    </row>
    <row r="333" spans="7:9" x14ac:dyDescent="0.25">
      <c r="G333" s="3">
        <f>1</f>
        <v>1</v>
      </c>
      <c r="H333" s="3" t="e">
        <f>Table1[[#This Row],[Fatalities (air)]]/Table1[[#This Row],[Aboard]]</f>
        <v>#DIV/0!</v>
      </c>
      <c r="I333" s="3" t="s">
        <v>295</v>
      </c>
    </row>
    <row r="334" spans="7:9" x14ac:dyDescent="0.25">
      <c r="G334" s="3">
        <f>1</f>
        <v>1</v>
      </c>
      <c r="H334" s="3" t="e">
        <f>Table1[[#This Row],[Fatalities (air)]]/Table1[[#This Row],[Aboard]]</f>
        <v>#DIV/0!</v>
      </c>
      <c r="I334" s="3" t="s">
        <v>295</v>
      </c>
    </row>
    <row r="335" spans="7:9" x14ac:dyDescent="0.25">
      <c r="G335" s="3">
        <f>1</f>
        <v>1</v>
      </c>
      <c r="H335" s="3" t="e">
        <f>Table1[[#This Row],[Fatalities (air)]]/Table1[[#This Row],[Aboard]]</f>
        <v>#DIV/0!</v>
      </c>
      <c r="I335" s="3" t="s">
        <v>295</v>
      </c>
    </row>
    <row r="336" spans="7:9" x14ac:dyDescent="0.25">
      <c r="G336" s="3">
        <f>1</f>
        <v>1</v>
      </c>
      <c r="H336" s="3" t="e">
        <f>Table1[[#This Row],[Fatalities (air)]]/Table1[[#This Row],[Aboard]]</f>
        <v>#DIV/0!</v>
      </c>
      <c r="I336" s="3" t="s">
        <v>295</v>
      </c>
    </row>
    <row r="337" spans="7:9" x14ac:dyDescent="0.25">
      <c r="G337" s="3">
        <f>1</f>
        <v>1</v>
      </c>
      <c r="H337" s="3" t="e">
        <f>Table1[[#This Row],[Fatalities (air)]]/Table1[[#This Row],[Aboard]]</f>
        <v>#DIV/0!</v>
      </c>
      <c r="I337" s="3" t="s">
        <v>295</v>
      </c>
    </row>
    <row r="338" spans="7:9" x14ac:dyDescent="0.25">
      <c r="G338" s="3">
        <f>1</f>
        <v>1</v>
      </c>
      <c r="H338" s="3" t="e">
        <f>Table1[[#This Row],[Fatalities (air)]]/Table1[[#This Row],[Aboard]]</f>
        <v>#DIV/0!</v>
      </c>
      <c r="I338" s="3" t="s">
        <v>295</v>
      </c>
    </row>
    <row r="339" spans="7:9" x14ac:dyDescent="0.25">
      <c r="G339" s="3">
        <f>1</f>
        <v>1</v>
      </c>
      <c r="H339" s="3" t="e">
        <f>Table1[[#This Row],[Fatalities (air)]]/Table1[[#This Row],[Aboard]]</f>
        <v>#DIV/0!</v>
      </c>
      <c r="I339" s="3" t="s">
        <v>295</v>
      </c>
    </row>
    <row r="340" spans="7:9" x14ac:dyDescent="0.25">
      <c r="G340" s="3">
        <f>1</f>
        <v>1</v>
      </c>
      <c r="H340" s="3" t="e">
        <f>Table1[[#This Row],[Fatalities (air)]]/Table1[[#This Row],[Aboard]]</f>
        <v>#DIV/0!</v>
      </c>
      <c r="I340" s="3" t="s">
        <v>295</v>
      </c>
    </row>
    <row r="341" spans="7:9" x14ac:dyDescent="0.25">
      <c r="G341" s="3">
        <f>1</f>
        <v>1</v>
      </c>
      <c r="H341" s="3" t="e">
        <f>Table1[[#This Row],[Fatalities (air)]]/Table1[[#This Row],[Aboard]]</f>
        <v>#DIV/0!</v>
      </c>
      <c r="I341" s="3" t="s">
        <v>295</v>
      </c>
    </row>
    <row r="342" spans="7:9" x14ac:dyDescent="0.25">
      <c r="G342" s="3">
        <f>1</f>
        <v>1</v>
      </c>
      <c r="H342" s="3" t="e">
        <f>Table1[[#This Row],[Fatalities (air)]]/Table1[[#This Row],[Aboard]]</f>
        <v>#DIV/0!</v>
      </c>
      <c r="I342" s="3" t="s">
        <v>295</v>
      </c>
    </row>
    <row r="343" spans="7:9" x14ac:dyDescent="0.25">
      <c r="G343" s="3">
        <f>1</f>
        <v>1</v>
      </c>
      <c r="H343" s="3" t="e">
        <f>Table1[[#This Row],[Fatalities (air)]]/Table1[[#This Row],[Aboard]]</f>
        <v>#DIV/0!</v>
      </c>
      <c r="I343" s="3" t="s">
        <v>296</v>
      </c>
    </row>
    <row r="344" spans="7:9" x14ac:dyDescent="0.25">
      <c r="G344" s="3">
        <f>1</f>
        <v>1</v>
      </c>
      <c r="H344" s="3" t="e">
        <f>Table1[[#This Row],[Fatalities (air)]]/Table1[[#This Row],[Aboard]]</f>
        <v>#DIV/0!</v>
      </c>
      <c r="I344" s="3" t="s">
        <v>296</v>
      </c>
    </row>
    <row r="345" spans="7:9" x14ac:dyDescent="0.25">
      <c r="G345" s="3">
        <f>1</f>
        <v>1</v>
      </c>
      <c r="H345" s="3" t="e">
        <f>Table1[[#This Row],[Fatalities (air)]]/Table1[[#This Row],[Aboard]]</f>
        <v>#DIV/0!</v>
      </c>
      <c r="I345" s="3" t="s">
        <v>296</v>
      </c>
    </row>
    <row r="346" spans="7:9" x14ac:dyDescent="0.25">
      <c r="G346" s="3">
        <f>1</f>
        <v>1</v>
      </c>
      <c r="H346" s="3" t="e">
        <f>Table1[[#This Row],[Fatalities (air)]]/Table1[[#This Row],[Aboard]]</f>
        <v>#DIV/0!</v>
      </c>
      <c r="I346" s="3" t="s">
        <v>296</v>
      </c>
    </row>
    <row r="347" spans="7:9" x14ac:dyDescent="0.25">
      <c r="G347" s="3">
        <f>1</f>
        <v>1</v>
      </c>
      <c r="H347" s="3" t="e">
        <f>Table1[[#This Row],[Fatalities (air)]]/Table1[[#This Row],[Aboard]]</f>
        <v>#DIV/0!</v>
      </c>
      <c r="I347" s="3" t="s">
        <v>296</v>
      </c>
    </row>
    <row r="348" spans="7:9" x14ac:dyDescent="0.25">
      <c r="G348" s="3">
        <f>1</f>
        <v>1</v>
      </c>
      <c r="H348" s="3" t="e">
        <f>Table1[[#This Row],[Fatalities (air)]]/Table1[[#This Row],[Aboard]]</f>
        <v>#DIV/0!</v>
      </c>
      <c r="I348" s="3" t="s">
        <v>296</v>
      </c>
    </row>
    <row r="349" spans="7:9" x14ac:dyDescent="0.25">
      <c r="G349" s="3">
        <f>1</f>
        <v>1</v>
      </c>
      <c r="H349" s="3" t="e">
        <f>Table1[[#This Row],[Fatalities (air)]]/Table1[[#This Row],[Aboard]]</f>
        <v>#DIV/0!</v>
      </c>
      <c r="I349" s="3" t="s">
        <v>296</v>
      </c>
    </row>
    <row r="350" spans="7:9" x14ac:dyDescent="0.25">
      <c r="G350" s="3">
        <f>1</f>
        <v>1</v>
      </c>
      <c r="H350" s="3" t="e">
        <f>Table1[[#This Row],[Fatalities (air)]]/Table1[[#This Row],[Aboard]]</f>
        <v>#DIV/0!</v>
      </c>
      <c r="I350" s="3" t="s">
        <v>296</v>
      </c>
    </row>
    <row r="351" spans="7:9" x14ac:dyDescent="0.25">
      <c r="G351" s="3">
        <f>1</f>
        <v>1</v>
      </c>
      <c r="H351" s="3" t="e">
        <f>Table1[[#This Row],[Fatalities (air)]]/Table1[[#This Row],[Aboard]]</f>
        <v>#DIV/0!</v>
      </c>
      <c r="I351" s="3" t="s">
        <v>296</v>
      </c>
    </row>
    <row r="352" spans="7:9" x14ac:dyDescent="0.25">
      <c r="G352" s="3">
        <f>1</f>
        <v>1</v>
      </c>
      <c r="H352" s="3" t="e">
        <f>Table1[[#This Row],[Fatalities (air)]]/Table1[[#This Row],[Aboard]]</f>
        <v>#DIV/0!</v>
      </c>
      <c r="I352" s="3" t="s">
        <v>296</v>
      </c>
    </row>
    <row r="353" spans="7:9" x14ac:dyDescent="0.25">
      <c r="G353" s="3">
        <f>1</f>
        <v>1</v>
      </c>
      <c r="H353" s="3" t="e">
        <f>Table1[[#This Row],[Fatalities (air)]]/Table1[[#This Row],[Aboard]]</f>
        <v>#DIV/0!</v>
      </c>
      <c r="I353" s="3" t="s">
        <v>296</v>
      </c>
    </row>
    <row r="354" spans="7:9" x14ac:dyDescent="0.25">
      <c r="G354" s="3">
        <f>1</f>
        <v>1</v>
      </c>
      <c r="H354" s="3" t="e">
        <f>Table1[[#This Row],[Fatalities (air)]]/Table1[[#This Row],[Aboard]]</f>
        <v>#DIV/0!</v>
      </c>
      <c r="I354" s="3" t="s">
        <v>296</v>
      </c>
    </row>
    <row r="355" spans="7:9" x14ac:dyDescent="0.25">
      <c r="G355" s="3">
        <f>1</f>
        <v>1</v>
      </c>
      <c r="H355" s="3" t="e">
        <f>Table1[[#This Row],[Fatalities (air)]]/Table1[[#This Row],[Aboard]]</f>
        <v>#DIV/0!</v>
      </c>
      <c r="I355" s="3" t="s">
        <v>295</v>
      </c>
    </row>
    <row r="356" spans="7:9" x14ac:dyDescent="0.25">
      <c r="G356" s="3">
        <f>1</f>
        <v>1</v>
      </c>
      <c r="H356" s="3" t="e">
        <f>Table1[[#This Row],[Fatalities (air)]]/Table1[[#This Row],[Aboard]]</f>
        <v>#DIV/0!</v>
      </c>
      <c r="I356" s="3" t="s">
        <v>295</v>
      </c>
    </row>
    <row r="357" spans="7:9" x14ac:dyDescent="0.25">
      <c r="G357" s="3">
        <f>1</f>
        <v>1</v>
      </c>
      <c r="H357" s="3" t="e">
        <f>Table1[[#This Row],[Fatalities (air)]]/Table1[[#This Row],[Aboard]]</f>
        <v>#DIV/0!</v>
      </c>
      <c r="I357" s="3" t="s">
        <v>295</v>
      </c>
    </row>
    <row r="358" spans="7:9" x14ac:dyDescent="0.25">
      <c r="G358" s="3">
        <f>1</f>
        <v>1</v>
      </c>
      <c r="H358" s="3" t="e">
        <f>Table1[[#This Row],[Fatalities (air)]]/Table1[[#This Row],[Aboard]]</f>
        <v>#DIV/0!</v>
      </c>
      <c r="I358" s="3" t="s">
        <v>295</v>
      </c>
    </row>
    <row r="359" spans="7:9" x14ac:dyDescent="0.25">
      <c r="G359" s="3">
        <f>1</f>
        <v>1</v>
      </c>
      <c r="H359" s="3" t="e">
        <f>Table1[[#This Row],[Fatalities (air)]]/Table1[[#This Row],[Aboard]]</f>
        <v>#DIV/0!</v>
      </c>
      <c r="I359" s="3" t="s">
        <v>295</v>
      </c>
    </row>
    <row r="360" spans="7:9" x14ac:dyDescent="0.25">
      <c r="G360" s="3">
        <f>1</f>
        <v>1</v>
      </c>
      <c r="H360" s="3" t="e">
        <f>Table1[[#This Row],[Fatalities (air)]]/Table1[[#This Row],[Aboard]]</f>
        <v>#DIV/0!</v>
      </c>
      <c r="I360" s="3" t="s">
        <v>295</v>
      </c>
    </row>
    <row r="361" spans="7:9" x14ac:dyDescent="0.25">
      <c r="G361" s="3">
        <f>1</f>
        <v>1</v>
      </c>
      <c r="H361" s="3" t="e">
        <f>Table1[[#This Row],[Fatalities (air)]]/Table1[[#This Row],[Aboard]]</f>
        <v>#DIV/0!</v>
      </c>
      <c r="I361" s="3" t="s">
        <v>295</v>
      </c>
    </row>
    <row r="362" spans="7:9" x14ac:dyDescent="0.25">
      <c r="G362" s="3">
        <f>1</f>
        <v>1</v>
      </c>
      <c r="H362" s="3" t="e">
        <f>Table1[[#This Row],[Fatalities (air)]]/Table1[[#This Row],[Aboard]]</f>
        <v>#DIV/0!</v>
      </c>
      <c r="I362" s="3" t="s">
        <v>295</v>
      </c>
    </row>
    <row r="363" spans="7:9" x14ac:dyDescent="0.25">
      <c r="G363" s="3">
        <f>1</f>
        <v>1</v>
      </c>
      <c r="H363" s="3" t="e">
        <f>Table1[[#This Row],[Fatalities (air)]]/Table1[[#This Row],[Aboard]]</f>
        <v>#DIV/0!</v>
      </c>
      <c r="I363" s="3" t="s">
        <v>295</v>
      </c>
    </row>
    <row r="364" spans="7:9" x14ac:dyDescent="0.25">
      <c r="G364" s="3">
        <f>1</f>
        <v>1</v>
      </c>
      <c r="H364" s="3" t="e">
        <f>Table1[[#This Row],[Fatalities (air)]]/Table1[[#This Row],[Aboard]]</f>
        <v>#DIV/0!</v>
      </c>
      <c r="I364" s="3" t="s">
        <v>295</v>
      </c>
    </row>
    <row r="365" spans="7:9" x14ac:dyDescent="0.25">
      <c r="G365" s="3">
        <f>1</f>
        <v>1</v>
      </c>
      <c r="H365" s="3" t="e">
        <f>Table1[[#This Row],[Fatalities (air)]]/Table1[[#This Row],[Aboard]]</f>
        <v>#DIV/0!</v>
      </c>
      <c r="I365" s="3" t="s">
        <v>295</v>
      </c>
    </row>
    <row r="366" spans="7:9" x14ac:dyDescent="0.25">
      <c r="G366" s="3">
        <f>1</f>
        <v>1</v>
      </c>
      <c r="H366" s="3" t="e">
        <f>Table1[[#This Row],[Fatalities (air)]]/Table1[[#This Row],[Aboard]]</f>
        <v>#DIV/0!</v>
      </c>
      <c r="I366" s="3" t="s">
        <v>295</v>
      </c>
    </row>
    <row r="367" spans="7:9" x14ac:dyDescent="0.25">
      <c r="G367" s="3">
        <f>1</f>
        <v>1</v>
      </c>
      <c r="H367" s="3" t="e">
        <f>Table1[[#This Row],[Fatalities (air)]]/Table1[[#This Row],[Aboard]]</f>
        <v>#DIV/0!</v>
      </c>
      <c r="I367" s="3" t="s">
        <v>295</v>
      </c>
    </row>
    <row r="368" spans="7:9" x14ac:dyDescent="0.25">
      <c r="G368" s="3">
        <f>1</f>
        <v>1</v>
      </c>
      <c r="H368" s="3" t="e">
        <f>Table1[[#This Row],[Fatalities (air)]]/Table1[[#This Row],[Aboard]]</f>
        <v>#DIV/0!</v>
      </c>
      <c r="I368" s="3" t="s">
        <v>295</v>
      </c>
    </row>
    <row r="369" spans="7:9" x14ac:dyDescent="0.25">
      <c r="G369" s="3">
        <f>1</f>
        <v>1</v>
      </c>
      <c r="H369" s="3" t="e">
        <f>Table1[[#This Row],[Fatalities (air)]]/Table1[[#This Row],[Aboard]]</f>
        <v>#DIV/0!</v>
      </c>
      <c r="I369" s="3" t="s">
        <v>297</v>
      </c>
    </row>
    <row r="370" spans="7:9" x14ac:dyDescent="0.25">
      <c r="G370" s="3">
        <f>1</f>
        <v>1</v>
      </c>
      <c r="H370" s="3" t="e">
        <f>Table1[[#This Row],[Fatalities (air)]]/Table1[[#This Row],[Aboard]]</f>
        <v>#DIV/0!</v>
      </c>
      <c r="I370" s="3" t="s">
        <v>297</v>
      </c>
    </row>
    <row r="371" spans="7:9" x14ac:dyDescent="0.25">
      <c r="G371" s="3">
        <f>1</f>
        <v>1</v>
      </c>
      <c r="H371" s="3" t="e">
        <f>Table1[[#This Row],[Fatalities (air)]]/Table1[[#This Row],[Aboard]]</f>
        <v>#DIV/0!</v>
      </c>
      <c r="I371" s="3" t="s">
        <v>297</v>
      </c>
    </row>
    <row r="372" spans="7:9" x14ac:dyDescent="0.25">
      <c r="G372" s="3">
        <f>1</f>
        <v>1</v>
      </c>
      <c r="H372" s="3" t="e">
        <f>Table1[[#This Row],[Fatalities (air)]]/Table1[[#This Row],[Aboard]]</f>
        <v>#DIV/0!</v>
      </c>
      <c r="I372" s="3" t="s">
        <v>294</v>
      </c>
    </row>
    <row r="373" spans="7:9" x14ac:dyDescent="0.25">
      <c r="G373" s="3">
        <f>1</f>
        <v>1</v>
      </c>
      <c r="H373" s="3" t="e">
        <f>Table1[[#This Row],[Fatalities (air)]]/Table1[[#This Row],[Aboard]]</f>
        <v>#DIV/0!</v>
      </c>
      <c r="I373" s="3" t="s">
        <v>294</v>
      </c>
    </row>
    <row r="374" spans="7:9" x14ac:dyDescent="0.25">
      <c r="G374" s="3">
        <f>1</f>
        <v>1</v>
      </c>
      <c r="H374" s="3" t="e">
        <f>Table1[[#This Row],[Fatalities (air)]]/Table1[[#This Row],[Aboard]]</f>
        <v>#DIV/0!</v>
      </c>
      <c r="I374" s="3" t="s">
        <v>294</v>
      </c>
    </row>
    <row r="375" spans="7:9" x14ac:dyDescent="0.25">
      <c r="G375" s="3">
        <f>1</f>
        <v>1</v>
      </c>
      <c r="H375" s="3" t="e">
        <f>Table1[[#This Row],[Fatalities (air)]]/Table1[[#This Row],[Aboard]]</f>
        <v>#DIV/0!</v>
      </c>
      <c r="I375" s="3" t="s">
        <v>294</v>
      </c>
    </row>
    <row r="376" spans="7:9" x14ac:dyDescent="0.25">
      <c r="G376" s="3">
        <f>1</f>
        <v>1</v>
      </c>
      <c r="H376" s="3" t="e">
        <f>Table1[[#This Row],[Fatalities (air)]]/Table1[[#This Row],[Aboard]]</f>
        <v>#DIV/0!</v>
      </c>
      <c r="I376" s="3" t="s">
        <v>294</v>
      </c>
    </row>
    <row r="377" spans="7:9" x14ac:dyDescent="0.25">
      <c r="G377" s="3">
        <f>1</f>
        <v>1</v>
      </c>
      <c r="H377" s="3" t="e">
        <f>Table1[[#This Row],[Fatalities (air)]]/Table1[[#This Row],[Aboard]]</f>
        <v>#DIV/0!</v>
      </c>
      <c r="I377" s="3" t="s">
        <v>294</v>
      </c>
    </row>
    <row r="378" spans="7:9" x14ac:dyDescent="0.25">
      <c r="G378" s="3">
        <f>1</f>
        <v>1</v>
      </c>
      <c r="H378" s="3" t="e">
        <f>Table1[[#This Row],[Fatalities (air)]]/Table1[[#This Row],[Aboard]]</f>
        <v>#DIV/0!</v>
      </c>
      <c r="I378" s="3" t="s">
        <v>294</v>
      </c>
    </row>
    <row r="379" spans="7:9" x14ac:dyDescent="0.25">
      <c r="G379" s="3">
        <f>1</f>
        <v>1</v>
      </c>
      <c r="H379" s="3" t="e">
        <f>Table1[[#This Row],[Fatalities (air)]]/Table1[[#This Row],[Aboard]]</f>
        <v>#DIV/0!</v>
      </c>
      <c r="I379" s="3" t="s">
        <v>294</v>
      </c>
    </row>
    <row r="380" spans="7:9" x14ac:dyDescent="0.25">
      <c r="G380" s="3">
        <f>1</f>
        <v>1</v>
      </c>
      <c r="H380" s="3" t="e">
        <f>Table1[[#This Row],[Fatalities (air)]]/Table1[[#This Row],[Aboard]]</f>
        <v>#DIV/0!</v>
      </c>
      <c r="I380" s="3" t="s">
        <v>294</v>
      </c>
    </row>
    <row r="381" spans="7:9" x14ac:dyDescent="0.25">
      <c r="G381" s="3">
        <f>1</f>
        <v>1</v>
      </c>
      <c r="H381" s="3" t="e">
        <f>Table1[[#This Row],[Fatalities (air)]]/Table1[[#This Row],[Aboard]]</f>
        <v>#DIV/0!</v>
      </c>
      <c r="I381" s="3" t="s">
        <v>294</v>
      </c>
    </row>
    <row r="382" spans="7:9" x14ac:dyDescent="0.25">
      <c r="G382" s="3">
        <f>1</f>
        <v>1</v>
      </c>
      <c r="H382" s="3" t="e">
        <f>Table1[[#This Row],[Fatalities (air)]]/Table1[[#This Row],[Aboard]]</f>
        <v>#DIV/0!</v>
      </c>
      <c r="I382" s="3" t="s">
        <v>294</v>
      </c>
    </row>
    <row r="383" spans="7:9" x14ac:dyDescent="0.25">
      <c r="G383" s="3">
        <f>1</f>
        <v>1</v>
      </c>
      <c r="H383" s="3" t="e">
        <f>Table1[[#This Row],[Fatalities (air)]]/Table1[[#This Row],[Aboard]]</f>
        <v>#DIV/0!</v>
      </c>
      <c r="I383" s="3" t="s">
        <v>294</v>
      </c>
    </row>
    <row r="384" spans="7:9" x14ac:dyDescent="0.25">
      <c r="G384" s="3">
        <f>1</f>
        <v>1</v>
      </c>
      <c r="H384" s="3" t="e">
        <f>Table1[[#This Row],[Fatalities (air)]]/Table1[[#This Row],[Aboard]]</f>
        <v>#DIV/0!</v>
      </c>
      <c r="I384" s="3" t="s">
        <v>294</v>
      </c>
    </row>
    <row r="385" spans="7:9" x14ac:dyDescent="0.25">
      <c r="G385" s="3">
        <f>1</f>
        <v>1</v>
      </c>
      <c r="H385" s="3" t="e">
        <f>Table1[[#This Row],[Fatalities (air)]]/Table1[[#This Row],[Aboard]]</f>
        <v>#DIV/0!</v>
      </c>
      <c r="I385" s="3" t="s">
        <v>294</v>
      </c>
    </row>
    <row r="386" spans="7:9" x14ac:dyDescent="0.25">
      <c r="G386" s="3">
        <f>1</f>
        <v>1</v>
      </c>
      <c r="H386" s="3" t="e">
        <f>Table1[[#This Row],[Fatalities (air)]]/Table1[[#This Row],[Aboard]]</f>
        <v>#DIV/0!</v>
      </c>
      <c r="I386" s="3" t="s">
        <v>297</v>
      </c>
    </row>
    <row r="387" spans="7:9" x14ac:dyDescent="0.25">
      <c r="G387" s="3">
        <f>1</f>
        <v>1</v>
      </c>
      <c r="H387" s="3" t="e">
        <f>Table1[[#This Row],[Fatalities (air)]]/Table1[[#This Row],[Aboard]]</f>
        <v>#DIV/0!</v>
      </c>
      <c r="I387" s="3" t="s">
        <v>297</v>
      </c>
    </row>
    <row r="388" spans="7:9" x14ac:dyDescent="0.25">
      <c r="G388" s="3">
        <f>1</f>
        <v>1</v>
      </c>
      <c r="H388" s="3" t="e">
        <f>Table1[[#This Row],[Fatalities (air)]]/Table1[[#This Row],[Aboard]]</f>
        <v>#DIV/0!</v>
      </c>
      <c r="I388" s="3" t="s">
        <v>297</v>
      </c>
    </row>
    <row r="389" spans="7:9" x14ac:dyDescent="0.25">
      <c r="G389" s="3">
        <f>1</f>
        <v>1</v>
      </c>
      <c r="H389" s="3" t="e">
        <f>Table1[[#This Row],[Fatalities (air)]]/Table1[[#This Row],[Aboard]]</f>
        <v>#DIV/0!</v>
      </c>
      <c r="I389" s="3" t="s">
        <v>297</v>
      </c>
    </row>
    <row r="390" spans="7:9" x14ac:dyDescent="0.25">
      <c r="G390" s="3">
        <f>1</f>
        <v>1</v>
      </c>
      <c r="H390" s="3" t="e">
        <f>Table1[[#This Row],[Fatalities (air)]]/Table1[[#This Row],[Aboard]]</f>
        <v>#DIV/0!</v>
      </c>
      <c r="I390" s="3" t="s">
        <v>295</v>
      </c>
    </row>
    <row r="391" spans="7:9" x14ac:dyDescent="0.25">
      <c r="G391" s="3">
        <f>1</f>
        <v>1</v>
      </c>
      <c r="H391" s="3" t="e">
        <f>Table1[[#This Row],[Fatalities (air)]]/Table1[[#This Row],[Aboard]]</f>
        <v>#DIV/0!</v>
      </c>
      <c r="I391" s="3" t="s">
        <v>295</v>
      </c>
    </row>
    <row r="392" spans="7:9" x14ac:dyDescent="0.25">
      <c r="G392" s="3">
        <f>1</f>
        <v>1</v>
      </c>
      <c r="H392" s="3" t="e">
        <f>Table1[[#This Row],[Fatalities (air)]]/Table1[[#This Row],[Aboard]]</f>
        <v>#DIV/0!</v>
      </c>
      <c r="I392" s="3" t="s">
        <v>295</v>
      </c>
    </row>
    <row r="393" spans="7:9" x14ac:dyDescent="0.25">
      <c r="G393" s="3">
        <f>1</f>
        <v>1</v>
      </c>
      <c r="H393" s="3" t="e">
        <f>Table1[[#This Row],[Fatalities (air)]]/Table1[[#This Row],[Aboard]]</f>
        <v>#DIV/0!</v>
      </c>
      <c r="I393" s="3" t="s">
        <v>295</v>
      </c>
    </row>
    <row r="394" spans="7:9" x14ac:dyDescent="0.25">
      <c r="G394" s="3">
        <f>1</f>
        <v>1</v>
      </c>
      <c r="H394" s="3" t="e">
        <f>Table1[[#This Row],[Fatalities (air)]]/Table1[[#This Row],[Aboard]]</f>
        <v>#DIV/0!</v>
      </c>
      <c r="I394" s="3" t="s">
        <v>295</v>
      </c>
    </row>
    <row r="395" spans="7:9" x14ac:dyDescent="0.25">
      <c r="G395" s="3">
        <f>1</f>
        <v>1</v>
      </c>
      <c r="H395" s="3" t="e">
        <f>Table1[[#This Row],[Fatalities (air)]]/Table1[[#This Row],[Aboard]]</f>
        <v>#DIV/0!</v>
      </c>
      <c r="I395" s="3" t="s">
        <v>295</v>
      </c>
    </row>
    <row r="396" spans="7:9" x14ac:dyDescent="0.25">
      <c r="G396" s="3">
        <f>1</f>
        <v>1</v>
      </c>
      <c r="H396" s="3" t="e">
        <f>Table1[[#This Row],[Fatalities (air)]]/Table1[[#This Row],[Aboard]]</f>
        <v>#DIV/0!</v>
      </c>
      <c r="I396" s="3" t="s">
        <v>297</v>
      </c>
    </row>
    <row r="397" spans="7:9" x14ac:dyDescent="0.25">
      <c r="G397" s="3">
        <f>1</f>
        <v>1</v>
      </c>
      <c r="H397" s="3" t="e">
        <f>Table1[[#This Row],[Fatalities (air)]]/Table1[[#This Row],[Aboard]]</f>
        <v>#DIV/0!</v>
      </c>
      <c r="I397" s="3" t="s">
        <v>297</v>
      </c>
    </row>
    <row r="398" spans="7:9" x14ac:dyDescent="0.25">
      <c r="G398" s="3">
        <f>1</f>
        <v>1</v>
      </c>
      <c r="H398" s="3" t="e">
        <f>Table1[[#This Row],[Fatalities (air)]]/Table1[[#This Row],[Aboard]]</f>
        <v>#DIV/0!</v>
      </c>
      <c r="I398" s="3" t="s">
        <v>297</v>
      </c>
    </row>
    <row r="399" spans="7:9" x14ac:dyDescent="0.25">
      <c r="G399" s="3">
        <f>1</f>
        <v>1</v>
      </c>
      <c r="H399" s="3" t="e">
        <f>Table1[[#This Row],[Fatalities (air)]]/Table1[[#This Row],[Aboard]]</f>
        <v>#DIV/0!</v>
      </c>
      <c r="I399" s="3" t="s">
        <v>294</v>
      </c>
    </row>
    <row r="400" spans="7:9" x14ac:dyDescent="0.25">
      <c r="G400" s="3">
        <f>1</f>
        <v>1</v>
      </c>
      <c r="H400" s="3" t="e">
        <f>Table1[[#This Row],[Fatalities (air)]]/Table1[[#This Row],[Aboard]]</f>
        <v>#DIV/0!</v>
      </c>
      <c r="I400" s="3" t="s">
        <v>294</v>
      </c>
    </row>
    <row r="401" spans="7:9" x14ac:dyDescent="0.25">
      <c r="G401" s="3">
        <f>1</f>
        <v>1</v>
      </c>
      <c r="H401" s="3" t="e">
        <f>Table1[[#This Row],[Fatalities (air)]]/Table1[[#This Row],[Aboard]]</f>
        <v>#DIV/0!</v>
      </c>
      <c r="I401" s="3" t="s">
        <v>294</v>
      </c>
    </row>
    <row r="402" spans="7:9" x14ac:dyDescent="0.25">
      <c r="G402" s="3">
        <f>1</f>
        <v>1</v>
      </c>
      <c r="H402" s="3" t="e">
        <f>Table1[[#This Row],[Fatalities (air)]]/Table1[[#This Row],[Aboard]]</f>
        <v>#DIV/0!</v>
      </c>
      <c r="I402" s="3" t="s">
        <v>294</v>
      </c>
    </row>
    <row r="403" spans="7:9" x14ac:dyDescent="0.25">
      <c r="G403" s="3">
        <f>1</f>
        <v>1</v>
      </c>
      <c r="H403" s="3" t="e">
        <f>Table1[[#This Row],[Fatalities (air)]]/Table1[[#This Row],[Aboard]]</f>
        <v>#DIV/0!</v>
      </c>
      <c r="I403" s="3" t="s">
        <v>295</v>
      </c>
    </row>
    <row r="404" spans="7:9" x14ac:dyDescent="0.25">
      <c r="G404" s="3">
        <f>1</f>
        <v>1</v>
      </c>
      <c r="H404" s="3" t="e">
        <f>Table1[[#This Row],[Fatalities (air)]]/Table1[[#This Row],[Aboard]]</f>
        <v>#DIV/0!</v>
      </c>
      <c r="I404" s="3" t="s">
        <v>295</v>
      </c>
    </row>
    <row r="405" spans="7:9" x14ac:dyDescent="0.25">
      <c r="G405" s="3">
        <f>1</f>
        <v>1</v>
      </c>
      <c r="H405" s="3" t="e">
        <f>Table1[[#This Row],[Fatalities (air)]]/Table1[[#This Row],[Aboard]]</f>
        <v>#DIV/0!</v>
      </c>
      <c r="I405" s="3" t="s">
        <v>295</v>
      </c>
    </row>
    <row r="406" spans="7:9" x14ac:dyDescent="0.25">
      <c r="G406" s="3">
        <f>1</f>
        <v>1</v>
      </c>
      <c r="H406" s="3" t="e">
        <f>Table1[[#This Row],[Fatalities (air)]]/Table1[[#This Row],[Aboard]]</f>
        <v>#DIV/0!</v>
      </c>
      <c r="I406" s="3" t="s">
        <v>295</v>
      </c>
    </row>
    <row r="407" spans="7:9" x14ac:dyDescent="0.25">
      <c r="G407" s="3">
        <f>1</f>
        <v>1</v>
      </c>
      <c r="H407" s="3" t="e">
        <f>Table1[[#This Row],[Fatalities (air)]]/Table1[[#This Row],[Aboard]]</f>
        <v>#DIV/0!</v>
      </c>
      <c r="I407" s="3" t="s">
        <v>295</v>
      </c>
    </row>
    <row r="408" spans="7:9" x14ac:dyDescent="0.25">
      <c r="G408" s="3">
        <f>1</f>
        <v>1</v>
      </c>
      <c r="H408" s="3" t="e">
        <f>Table1[[#This Row],[Fatalities (air)]]/Table1[[#This Row],[Aboard]]</f>
        <v>#DIV/0!</v>
      </c>
      <c r="I408" s="3" t="s">
        <v>295</v>
      </c>
    </row>
    <row r="409" spans="7:9" x14ac:dyDescent="0.25">
      <c r="G409" s="3">
        <f>1</f>
        <v>1</v>
      </c>
      <c r="H409" s="3" t="e">
        <f>Table1[[#This Row],[Fatalities (air)]]/Table1[[#This Row],[Aboard]]</f>
        <v>#DIV/0!</v>
      </c>
      <c r="I409" s="3" t="s">
        <v>295</v>
      </c>
    </row>
    <row r="410" spans="7:9" x14ac:dyDescent="0.25">
      <c r="G410" s="3">
        <f>1</f>
        <v>1</v>
      </c>
      <c r="H410" s="3" t="e">
        <f>Table1[[#This Row],[Fatalities (air)]]/Table1[[#This Row],[Aboard]]</f>
        <v>#DIV/0!</v>
      </c>
      <c r="I410" s="3" t="s">
        <v>295</v>
      </c>
    </row>
    <row r="411" spans="7:9" x14ac:dyDescent="0.25">
      <c r="G411" s="3">
        <f>1</f>
        <v>1</v>
      </c>
      <c r="H411" s="3" t="e">
        <f>Table1[[#This Row],[Fatalities (air)]]/Table1[[#This Row],[Aboard]]</f>
        <v>#DIV/0!</v>
      </c>
      <c r="I411" s="3" t="s">
        <v>295</v>
      </c>
    </row>
    <row r="412" spans="7:9" x14ac:dyDescent="0.25">
      <c r="G412" s="3">
        <f>1</f>
        <v>1</v>
      </c>
      <c r="H412" s="3" t="e">
        <f>Table1[[#This Row],[Fatalities (air)]]/Table1[[#This Row],[Aboard]]</f>
        <v>#DIV/0!</v>
      </c>
      <c r="I412" s="3" t="s">
        <v>296</v>
      </c>
    </row>
    <row r="413" spans="7:9" x14ac:dyDescent="0.25">
      <c r="G413" s="3">
        <f>1</f>
        <v>1</v>
      </c>
      <c r="H413" s="3" t="e">
        <f>Table1[[#This Row],[Fatalities (air)]]/Table1[[#This Row],[Aboard]]</f>
        <v>#DIV/0!</v>
      </c>
      <c r="I413" s="3" t="s">
        <v>296</v>
      </c>
    </row>
    <row r="414" spans="7:9" x14ac:dyDescent="0.25">
      <c r="G414" s="3">
        <f>1</f>
        <v>1</v>
      </c>
      <c r="H414" s="3" t="e">
        <f>Table1[[#This Row],[Fatalities (air)]]/Table1[[#This Row],[Aboard]]</f>
        <v>#DIV/0!</v>
      </c>
      <c r="I414" s="3" t="s">
        <v>296</v>
      </c>
    </row>
    <row r="415" spans="7:9" x14ac:dyDescent="0.25">
      <c r="G415" s="3">
        <f>1</f>
        <v>1</v>
      </c>
      <c r="H415" s="3" t="e">
        <f>Table1[[#This Row],[Fatalities (air)]]/Table1[[#This Row],[Aboard]]</f>
        <v>#DIV/0!</v>
      </c>
      <c r="I415" s="3" t="s">
        <v>296</v>
      </c>
    </row>
    <row r="416" spans="7:9" x14ac:dyDescent="0.25">
      <c r="G416" s="3">
        <f>1</f>
        <v>1</v>
      </c>
      <c r="H416" s="3" t="e">
        <f>Table1[[#This Row],[Fatalities (air)]]/Table1[[#This Row],[Aboard]]</f>
        <v>#DIV/0!</v>
      </c>
      <c r="I416" s="3" t="s">
        <v>296</v>
      </c>
    </row>
    <row r="417" spans="7:9" x14ac:dyDescent="0.25">
      <c r="G417" s="3">
        <f>1</f>
        <v>1</v>
      </c>
      <c r="H417" s="3" t="e">
        <f>Table1[[#This Row],[Fatalities (air)]]/Table1[[#This Row],[Aboard]]</f>
        <v>#DIV/0!</v>
      </c>
      <c r="I417" s="3" t="s">
        <v>296</v>
      </c>
    </row>
    <row r="418" spans="7:9" x14ac:dyDescent="0.25">
      <c r="G418" s="3">
        <f>1</f>
        <v>1</v>
      </c>
      <c r="H418" s="3" t="e">
        <f>Table1[[#This Row],[Fatalities (air)]]/Table1[[#This Row],[Aboard]]</f>
        <v>#DIV/0!</v>
      </c>
      <c r="I418" s="3" t="s">
        <v>296</v>
      </c>
    </row>
    <row r="419" spans="7:9" x14ac:dyDescent="0.25">
      <c r="G419" s="3">
        <f>1</f>
        <v>1</v>
      </c>
      <c r="H419" s="3" t="e">
        <f>Table1[[#This Row],[Fatalities (air)]]/Table1[[#This Row],[Aboard]]</f>
        <v>#DIV/0!</v>
      </c>
      <c r="I419" s="3" t="s">
        <v>296</v>
      </c>
    </row>
    <row r="420" spans="7:9" x14ac:dyDescent="0.25">
      <c r="G420" s="3">
        <f>1</f>
        <v>1</v>
      </c>
      <c r="H420" s="3" t="e">
        <f>Table1[[#This Row],[Fatalities (air)]]/Table1[[#This Row],[Aboard]]</f>
        <v>#DIV/0!</v>
      </c>
      <c r="I420" s="3" t="s">
        <v>296</v>
      </c>
    </row>
    <row r="421" spans="7:9" x14ac:dyDescent="0.25">
      <c r="G421" s="3">
        <f>1</f>
        <v>1</v>
      </c>
      <c r="H421" s="3" t="e">
        <f>Table1[[#This Row],[Fatalities (air)]]/Table1[[#This Row],[Aboard]]</f>
        <v>#DIV/0!</v>
      </c>
      <c r="I421" s="3" t="s">
        <v>296</v>
      </c>
    </row>
    <row r="422" spans="7:9" x14ac:dyDescent="0.25">
      <c r="G422" s="3">
        <f>1</f>
        <v>1</v>
      </c>
      <c r="H422" s="3" t="e">
        <f>Table1[[#This Row],[Fatalities (air)]]/Table1[[#This Row],[Aboard]]</f>
        <v>#DIV/0!</v>
      </c>
      <c r="I422" s="3" t="s">
        <v>296</v>
      </c>
    </row>
    <row r="423" spans="7:9" x14ac:dyDescent="0.25">
      <c r="G423" s="3">
        <f>1</f>
        <v>1</v>
      </c>
      <c r="H423" s="3" t="e">
        <f>Table1[[#This Row],[Fatalities (air)]]/Table1[[#This Row],[Aboard]]</f>
        <v>#DIV/0!</v>
      </c>
      <c r="I423" s="3" t="s">
        <v>296</v>
      </c>
    </row>
    <row r="424" spans="7:9" x14ac:dyDescent="0.25">
      <c r="G424" s="3">
        <f>1</f>
        <v>1</v>
      </c>
      <c r="H424" s="3" t="e">
        <f>Table1[[#This Row],[Fatalities (air)]]/Table1[[#This Row],[Aboard]]</f>
        <v>#DIV/0!</v>
      </c>
      <c r="I424" s="3" t="s">
        <v>296</v>
      </c>
    </row>
    <row r="425" spans="7:9" x14ac:dyDescent="0.25">
      <c r="G425" s="3">
        <f>1</f>
        <v>1</v>
      </c>
      <c r="H425" s="3" t="e">
        <f>Table1[[#This Row],[Fatalities (air)]]/Table1[[#This Row],[Aboard]]</f>
        <v>#DIV/0!</v>
      </c>
      <c r="I425" s="3" t="s">
        <v>296</v>
      </c>
    </row>
    <row r="426" spans="7:9" x14ac:dyDescent="0.25">
      <c r="G426" s="3">
        <f>1</f>
        <v>1</v>
      </c>
      <c r="H426" s="3" t="e">
        <f>Table1[[#This Row],[Fatalities (air)]]/Table1[[#This Row],[Aboard]]</f>
        <v>#DIV/0!</v>
      </c>
      <c r="I426" s="3" t="s">
        <v>296</v>
      </c>
    </row>
    <row r="427" spans="7:9" x14ac:dyDescent="0.25">
      <c r="G427" s="3">
        <f>1</f>
        <v>1</v>
      </c>
      <c r="H427" s="3" t="e">
        <f>Table1[[#This Row],[Fatalities (air)]]/Table1[[#This Row],[Aboard]]</f>
        <v>#DIV/0!</v>
      </c>
      <c r="I427" s="3" t="s">
        <v>296</v>
      </c>
    </row>
    <row r="428" spans="7:9" x14ac:dyDescent="0.25">
      <c r="G428" s="3">
        <f>1</f>
        <v>1</v>
      </c>
      <c r="H428" s="3" t="e">
        <f>Table1[[#This Row],[Fatalities (air)]]/Table1[[#This Row],[Aboard]]</f>
        <v>#DIV/0!</v>
      </c>
      <c r="I428" s="3" t="s">
        <v>296</v>
      </c>
    </row>
    <row r="429" spans="7:9" x14ac:dyDescent="0.25">
      <c r="G429" s="3">
        <f>1</f>
        <v>1</v>
      </c>
      <c r="H429" s="3" t="e">
        <f>Table1[[#This Row],[Fatalities (air)]]/Table1[[#This Row],[Aboard]]</f>
        <v>#DIV/0!</v>
      </c>
      <c r="I429" s="3" t="s">
        <v>296</v>
      </c>
    </row>
    <row r="430" spans="7:9" x14ac:dyDescent="0.25">
      <c r="G430" s="3">
        <f>1</f>
        <v>1</v>
      </c>
      <c r="H430" s="3" t="e">
        <f>Table1[[#This Row],[Fatalities (air)]]/Table1[[#This Row],[Aboard]]</f>
        <v>#DIV/0!</v>
      </c>
      <c r="I430" s="3" t="s">
        <v>296</v>
      </c>
    </row>
    <row r="431" spans="7:9" x14ac:dyDescent="0.25">
      <c r="G431" s="3">
        <f>1</f>
        <v>1</v>
      </c>
      <c r="H431" s="3" t="e">
        <f>Table1[[#This Row],[Fatalities (air)]]/Table1[[#This Row],[Aboard]]</f>
        <v>#DIV/0!</v>
      </c>
      <c r="I431" s="3" t="s">
        <v>296</v>
      </c>
    </row>
    <row r="432" spans="7:9" x14ac:dyDescent="0.25">
      <c r="G432" s="3">
        <f>1</f>
        <v>1</v>
      </c>
      <c r="H432" s="3" t="e">
        <f>Table1[[#This Row],[Fatalities (air)]]/Table1[[#This Row],[Aboard]]</f>
        <v>#DIV/0!</v>
      </c>
      <c r="I432" s="3" t="s">
        <v>295</v>
      </c>
    </row>
    <row r="433" spans="7:9" x14ac:dyDescent="0.25">
      <c r="G433" s="3">
        <f>1</f>
        <v>1</v>
      </c>
      <c r="H433" s="3" t="e">
        <f>Table1[[#This Row],[Fatalities (air)]]/Table1[[#This Row],[Aboard]]</f>
        <v>#DIV/0!</v>
      </c>
      <c r="I433" s="3" t="s">
        <v>295</v>
      </c>
    </row>
    <row r="434" spans="7:9" x14ac:dyDescent="0.25">
      <c r="G434" s="3">
        <f>1</f>
        <v>1</v>
      </c>
      <c r="H434" s="3" t="e">
        <f>Table1[[#This Row],[Fatalities (air)]]/Table1[[#This Row],[Aboard]]</f>
        <v>#DIV/0!</v>
      </c>
      <c r="I434" s="3" t="s">
        <v>295</v>
      </c>
    </row>
    <row r="435" spans="7:9" x14ac:dyDescent="0.25">
      <c r="G435" s="3">
        <f>1</f>
        <v>1</v>
      </c>
      <c r="H435" s="3" t="e">
        <f>Table1[[#This Row],[Fatalities (air)]]/Table1[[#This Row],[Aboard]]</f>
        <v>#DIV/0!</v>
      </c>
      <c r="I435" s="3" t="s">
        <v>295</v>
      </c>
    </row>
    <row r="436" spans="7:9" x14ac:dyDescent="0.25">
      <c r="G436" s="3">
        <f>1</f>
        <v>1</v>
      </c>
      <c r="H436" s="3" t="e">
        <f>Table1[[#This Row],[Fatalities (air)]]/Table1[[#This Row],[Aboard]]</f>
        <v>#DIV/0!</v>
      </c>
      <c r="I436" s="3" t="s">
        <v>295</v>
      </c>
    </row>
    <row r="437" spans="7:9" x14ac:dyDescent="0.25">
      <c r="G437" s="3">
        <f>1</f>
        <v>1</v>
      </c>
      <c r="H437" s="3" t="e">
        <f>Table1[[#This Row],[Fatalities (air)]]/Table1[[#This Row],[Aboard]]</f>
        <v>#DIV/0!</v>
      </c>
      <c r="I437" s="3" t="s">
        <v>295</v>
      </c>
    </row>
    <row r="438" spans="7:9" x14ac:dyDescent="0.25">
      <c r="G438" s="3">
        <f>1</f>
        <v>1</v>
      </c>
      <c r="H438" s="3" t="e">
        <f>Table1[[#This Row],[Fatalities (air)]]/Table1[[#This Row],[Aboard]]</f>
        <v>#DIV/0!</v>
      </c>
      <c r="I438" s="3" t="s">
        <v>295</v>
      </c>
    </row>
    <row r="439" spans="7:9" x14ac:dyDescent="0.25">
      <c r="G439" s="3">
        <f>1</f>
        <v>1</v>
      </c>
      <c r="H439" s="3" t="e">
        <f>Table1[[#This Row],[Fatalities (air)]]/Table1[[#This Row],[Aboard]]</f>
        <v>#DIV/0!</v>
      </c>
      <c r="I439" s="3" t="s">
        <v>294</v>
      </c>
    </row>
    <row r="440" spans="7:9" x14ac:dyDescent="0.25">
      <c r="G440" s="3">
        <f>1</f>
        <v>1</v>
      </c>
      <c r="H440" s="3" t="e">
        <f>Table1[[#This Row],[Fatalities (air)]]/Table1[[#This Row],[Aboard]]</f>
        <v>#DIV/0!</v>
      </c>
      <c r="I440" s="3" t="s">
        <v>294</v>
      </c>
    </row>
    <row r="441" spans="7:9" x14ac:dyDescent="0.25">
      <c r="G441" s="3">
        <f>1</f>
        <v>1</v>
      </c>
      <c r="H441" s="3" t="e">
        <f>Table1[[#This Row],[Fatalities (air)]]/Table1[[#This Row],[Aboard]]</f>
        <v>#DIV/0!</v>
      </c>
      <c r="I441" s="3" t="s">
        <v>294</v>
      </c>
    </row>
    <row r="442" spans="7:9" x14ac:dyDescent="0.25">
      <c r="G442" s="3">
        <f>1</f>
        <v>1</v>
      </c>
      <c r="H442" s="3" t="e">
        <f>Table1[[#This Row],[Fatalities (air)]]/Table1[[#This Row],[Aboard]]</f>
        <v>#DIV/0!</v>
      </c>
      <c r="I442" s="3" t="s">
        <v>294</v>
      </c>
    </row>
    <row r="443" spans="7:9" x14ac:dyDescent="0.25">
      <c r="G443" s="3">
        <f>1</f>
        <v>1</v>
      </c>
      <c r="H443" s="3" t="e">
        <f>Table1[[#This Row],[Fatalities (air)]]/Table1[[#This Row],[Aboard]]</f>
        <v>#DIV/0!</v>
      </c>
      <c r="I443" s="3" t="s">
        <v>294</v>
      </c>
    </row>
    <row r="444" spans="7:9" x14ac:dyDescent="0.25">
      <c r="G444" s="3">
        <f>1</f>
        <v>1</v>
      </c>
      <c r="H444" s="3" t="e">
        <f>Table1[[#This Row],[Fatalities (air)]]/Table1[[#This Row],[Aboard]]</f>
        <v>#DIV/0!</v>
      </c>
      <c r="I444" s="3" t="s">
        <v>294</v>
      </c>
    </row>
    <row r="445" spans="7:9" x14ac:dyDescent="0.25">
      <c r="G445" s="3">
        <f>1</f>
        <v>1</v>
      </c>
      <c r="H445" s="3" t="e">
        <f>Table1[[#This Row],[Fatalities (air)]]/Table1[[#This Row],[Aboard]]</f>
        <v>#DIV/0!</v>
      </c>
      <c r="I445" s="3" t="s">
        <v>294</v>
      </c>
    </row>
    <row r="446" spans="7:9" x14ac:dyDescent="0.25">
      <c r="G446" s="3">
        <f>1</f>
        <v>1</v>
      </c>
      <c r="H446" s="3" t="e">
        <f>Table1[[#This Row],[Fatalities (air)]]/Table1[[#This Row],[Aboard]]</f>
        <v>#DIV/0!</v>
      </c>
      <c r="I446" s="3" t="s">
        <v>294</v>
      </c>
    </row>
    <row r="447" spans="7:9" x14ac:dyDescent="0.25">
      <c r="G447" s="3">
        <f>1</f>
        <v>1</v>
      </c>
      <c r="H447" s="3" t="e">
        <f>Table1[[#This Row],[Fatalities (air)]]/Table1[[#This Row],[Aboard]]</f>
        <v>#DIV/0!</v>
      </c>
      <c r="I447" s="3" t="s">
        <v>294</v>
      </c>
    </row>
    <row r="448" spans="7:9" x14ac:dyDescent="0.25">
      <c r="G448" s="3">
        <f>1</f>
        <v>1</v>
      </c>
      <c r="H448" s="3" t="e">
        <f>Table1[[#This Row],[Fatalities (air)]]/Table1[[#This Row],[Aboard]]</f>
        <v>#DIV/0!</v>
      </c>
      <c r="I448" s="3" t="s">
        <v>294</v>
      </c>
    </row>
    <row r="449" spans="7:9" x14ac:dyDescent="0.25">
      <c r="G449" s="3">
        <f>1</f>
        <v>1</v>
      </c>
      <c r="H449" s="3" t="e">
        <f>Table1[[#This Row],[Fatalities (air)]]/Table1[[#This Row],[Aboard]]</f>
        <v>#DIV/0!</v>
      </c>
      <c r="I449" s="3" t="s">
        <v>294</v>
      </c>
    </row>
    <row r="450" spans="7:9" x14ac:dyDescent="0.25">
      <c r="G450" s="3">
        <f>1</f>
        <v>1</v>
      </c>
      <c r="H450" s="3" t="e">
        <f>Table1[[#This Row],[Fatalities (air)]]/Table1[[#This Row],[Aboard]]</f>
        <v>#DIV/0!</v>
      </c>
      <c r="I450" s="3" t="s">
        <v>294</v>
      </c>
    </row>
    <row r="451" spans="7:9" x14ac:dyDescent="0.25">
      <c r="G451" s="3">
        <f>1</f>
        <v>1</v>
      </c>
      <c r="H451" s="3" t="e">
        <f>Table1[[#This Row],[Fatalities (air)]]/Table1[[#This Row],[Aboard]]</f>
        <v>#DIV/0!</v>
      </c>
      <c r="I451" s="3" t="s">
        <v>294</v>
      </c>
    </row>
    <row r="452" spans="7:9" x14ac:dyDescent="0.25">
      <c r="G452" s="3">
        <f>1</f>
        <v>1</v>
      </c>
      <c r="H452" s="3" t="e">
        <f>Table1[[#This Row],[Fatalities (air)]]/Table1[[#This Row],[Aboard]]</f>
        <v>#DIV/0!</v>
      </c>
      <c r="I452" s="3" t="s">
        <v>294</v>
      </c>
    </row>
    <row r="453" spans="7:9" x14ac:dyDescent="0.25">
      <c r="G453" s="3">
        <f>1</f>
        <v>1</v>
      </c>
      <c r="H453" s="3" t="e">
        <f>Table1[[#This Row],[Fatalities (air)]]/Table1[[#This Row],[Aboard]]</f>
        <v>#DIV/0!</v>
      </c>
      <c r="I453" s="3" t="s">
        <v>294</v>
      </c>
    </row>
    <row r="454" spans="7:9" x14ac:dyDescent="0.25">
      <c r="G454" s="3">
        <f>1</f>
        <v>1</v>
      </c>
      <c r="H454" s="3" t="e">
        <f>Table1[[#This Row],[Fatalities (air)]]/Table1[[#This Row],[Aboard]]</f>
        <v>#DIV/0!</v>
      </c>
      <c r="I454" s="3" t="s">
        <v>294</v>
      </c>
    </row>
    <row r="455" spans="7:9" x14ac:dyDescent="0.25">
      <c r="G455" s="3">
        <f>1</f>
        <v>1</v>
      </c>
      <c r="H455" s="3" t="e">
        <f>Table1[[#This Row],[Fatalities (air)]]/Table1[[#This Row],[Aboard]]</f>
        <v>#DIV/0!</v>
      </c>
      <c r="I455" s="3" t="s">
        <v>294</v>
      </c>
    </row>
    <row r="456" spans="7:9" x14ac:dyDescent="0.25">
      <c r="G456" s="3">
        <f>1</f>
        <v>1</v>
      </c>
      <c r="H456" s="3" t="e">
        <f>Table1[[#This Row],[Fatalities (air)]]/Table1[[#This Row],[Aboard]]</f>
        <v>#DIV/0!</v>
      </c>
      <c r="I456" s="3" t="s">
        <v>294</v>
      </c>
    </row>
    <row r="457" spans="7:9" x14ac:dyDescent="0.25">
      <c r="G457" s="3">
        <f>1</f>
        <v>1</v>
      </c>
      <c r="H457" s="3" t="e">
        <f>Table1[[#This Row],[Fatalities (air)]]/Table1[[#This Row],[Aboard]]</f>
        <v>#DIV/0!</v>
      </c>
      <c r="I457" s="3" t="s">
        <v>297</v>
      </c>
    </row>
    <row r="458" spans="7:9" x14ac:dyDescent="0.25">
      <c r="G458" s="3">
        <f>1</f>
        <v>1</v>
      </c>
      <c r="H458" s="3" t="e">
        <f>Table1[[#This Row],[Fatalities (air)]]/Table1[[#This Row],[Aboard]]</f>
        <v>#DIV/0!</v>
      </c>
      <c r="I458" s="3" t="s">
        <v>297</v>
      </c>
    </row>
    <row r="459" spans="7:9" x14ac:dyDescent="0.25">
      <c r="G459" s="3">
        <f>1</f>
        <v>1</v>
      </c>
      <c r="H459" s="3" t="e">
        <f>Table1[[#This Row],[Fatalities (air)]]/Table1[[#This Row],[Aboard]]</f>
        <v>#DIV/0!</v>
      </c>
      <c r="I459" s="3" t="s">
        <v>295</v>
      </c>
    </row>
    <row r="460" spans="7:9" x14ac:dyDescent="0.25">
      <c r="G460" s="3">
        <f>1</f>
        <v>1</v>
      </c>
      <c r="H460" s="3" t="e">
        <f>Table1[[#This Row],[Fatalities (air)]]/Table1[[#This Row],[Aboard]]</f>
        <v>#DIV/0!</v>
      </c>
      <c r="I460" s="3" t="s">
        <v>297</v>
      </c>
    </row>
    <row r="461" spans="7:9" x14ac:dyDescent="0.25">
      <c r="G461" s="3">
        <f>1</f>
        <v>1</v>
      </c>
      <c r="H461" s="3" t="e">
        <f>Table1[[#This Row],[Fatalities (air)]]/Table1[[#This Row],[Aboard]]</f>
        <v>#DIV/0!</v>
      </c>
      <c r="I461" s="3" t="s">
        <v>297</v>
      </c>
    </row>
    <row r="462" spans="7:9" x14ac:dyDescent="0.25">
      <c r="G462" s="3">
        <f>1</f>
        <v>1</v>
      </c>
      <c r="H462" s="3" t="e">
        <f>Table1[[#This Row],[Fatalities (air)]]/Table1[[#This Row],[Aboard]]</f>
        <v>#DIV/0!</v>
      </c>
      <c r="I462" s="3" t="s">
        <v>297</v>
      </c>
    </row>
    <row r="463" spans="7:9" x14ac:dyDescent="0.25">
      <c r="G463" s="3">
        <f>1</f>
        <v>1</v>
      </c>
      <c r="H463" s="3" t="e">
        <f>Table1[[#This Row],[Fatalities (air)]]/Table1[[#This Row],[Aboard]]</f>
        <v>#DIV/0!</v>
      </c>
      <c r="I463" s="3" t="s">
        <v>297</v>
      </c>
    </row>
    <row r="464" spans="7:9" x14ac:dyDescent="0.25">
      <c r="G464" s="3">
        <f>1</f>
        <v>1</v>
      </c>
      <c r="H464" s="3" t="e">
        <f>Table1[[#This Row],[Fatalities (air)]]/Table1[[#This Row],[Aboard]]</f>
        <v>#DIV/0!</v>
      </c>
      <c r="I464" s="3" t="s">
        <v>297</v>
      </c>
    </row>
    <row r="465" spans="7:9" x14ac:dyDescent="0.25">
      <c r="G465" s="3">
        <f>1</f>
        <v>1</v>
      </c>
      <c r="H465" s="3" t="e">
        <f>Table1[[#This Row],[Fatalities (air)]]/Table1[[#This Row],[Aboard]]</f>
        <v>#DIV/0!</v>
      </c>
      <c r="I465" s="3" t="s">
        <v>297</v>
      </c>
    </row>
    <row r="466" spans="7:9" x14ac:dyDescent="0.25">
      <c r="G466" s="3">
        <f>1</f>
        <v>1</v>
      </c>
      <c r="H466" s="3" t="e">
        <f>Table1[[#This Row],[Fatalities (air)]]/Table1[[#This Row],[Aboard]]</f>
        <v>#DIV/0!</v>
      </c>
      <c r="I466" s="3" t="s">
        <v>295</v>
      </c>
    </row>
    <row r="467" spans="7:9" x14ac:dyDescent="0.25">
      <c r="G467" s="3">
        <f>1</f>
        <v>1</v>
      </c>
      <c r="H467" s="3" t="e">
        <f>Table1[[#This Row],[Fatalities (air)]]/Table1[[#This Row],[Aboard]]</f>
        <v>#DIV/0!</v>
      </c>
      <c r="I467" s="3" t="s">
        <v>295</v>
      </c>
    </row>
    <row r="468" spans="7:9" x14ac:dyDescent="0.25">
      <c r="G468" s="3">
        <f>1</f>
        <v>1</v>
      </c>
      <c r="H468" s="3" t="e">
        <f>Table1[[#This Row],[Fatalities (air)]]/Table1[[#This Row],[Aboard]]</f>
        <v>#DIV/0!</v>
      </c>
      <c r="I468" s="3" t="s">
        <v>295</v>
      </c>
    </row>
    <row r="469" spans="7:9" x14ac:dyDescent="0.25">
      <c r="G469" s="3">
        <f>1</f>
        <v>1</v>
      </c>
      <c r="H469" s="3" t="e">
        <f>Table1[[#This Row],[Fatalities (air)]]/Table1[[#This Row],[Aboard]]</f>
        <v>#DIV/0!</v>
      </c>
      <c r="I469" s="3" t="s">
        <v>295</v>
      </c>
    </row>
    <row r="470" spans="7:9" x14ac:dyDescent="0.25">
      <c r="G470" s="3">
        <f>1</f>
        <v>1</v>
      </c>
      <c r="H470" s="3" t="e">
        <f>Table1[[#This Row],[Fatalities (air)]]/Table1[[#This Row],[Aboard]]</f>
        <v>#DIV/0!</v>
      </c>
      <c r="I470" s="3" t="s">
        <v>295</v>
      </c>
    </row>
    <row r="471" spans="7:9" x14ac:dyDescent="0.25">
      <c r="G471" s="3">
        <f>1</f>
        <v>1</v>
      </c>
      <c r="H471" s="3" t="e">
        <f>Table1[[#This Row],[Fatalities (air)]]/Table1[[#This Row],[Aboard]]</f>
        <v>#DIV/0!</v>
      </c>
      <c r="I471" s="3" t="s">
        <v>295</v>
      </c>
    </row>
    <row r="472" spans="7:9" x14ac:dyDescent="0.25">
      <c r="G472" s="3">
        <f>1</f>
        <v>1</v>
      </c>
      <c r="H472" s="3" t="e">
        <f>Table1[[#This Row],[Fatalities (air)]]/Table1[[#This Row],[Aboard]]</f>
        <v>#DIV/0!</v>
      </c>
      <c r="I472" s="3" t="s">
        <v>295</v>
      </c>
    </row>
    <row r="473" spans="7:9" x14ac:dyDescent="0.25">
      <c r="G473" s="3">
        <f>1</f>
        <v>1</v>
      </c>
      <c r="H473" s="3" t="e">
        <f>Table1[[#This Row],[Fatalities (air)]]/Table1[[#This Row],[Aboard]]</f>
        <v>#DIV/0!</v>
      </c>
      <c r="I473" s="3" t="s">
        <v>295</v>
      </c>
    </row>
    <row r="474" spans="7:9" x14ac:dyDescent="0.25">
      <c r="G474" s="3">
        <f>1</f>
        <v>1</v>
      </c>
      <c r="H474" s="3" t="e">
        <f>Table1[[#This Row],[Fatalities (air)]]/Table1[[#This Row],[Aboard]]</f>
        <v>#DIV/0!</v>
      </c>
      <c r="I474" s="3" t="s">
        <v>295</v>
      </c>
    </row>
    <row r="475" spans="7:9" x14ac:dyDescent="0.25">
      <c r="G475" s="3">
        <f>1</f>
        <v>1</v>
      </c>
      <c r="H475" s="3" t="e">
        <f>Table1[[#This Row],[Fatalities (air)]]/Table1[[#This Row],[Aboard]]</f>
        <v>#DIV/0!</v>
      </c>
      <c r="I475" s="3" t="s">
        <v>295</v>
      </c>
    </row>
    <row r="476" spans="7:9" x14ac:dyDescent="0.25">
      <c r="G476" s="3">
        <f>1</f>
        <v>1</v>
      </c>
      <c r="H476" s="3" t="e">
        <f>Table1[[#This Row],[Fatalities (air)]]/Table1[[#This Row],[Aboard]]</f>
        <v>#DIV/0!</v>
      </c>
      <c r="I476" s="3" t="s">
        <v>295</v>
      </c>
    </row>
    <row r="477" spans="7:9" x14ac:dyDescent="0.25">
      <c r="G477" s="3">
        <f>1</f>
        <v>1</v>
      </c>
      <c r="H477" s="3" t="e">
        <f>Table1[[#This Row],[Fatalities (air)]]/Table1[[#This Row],[Aboard]]</f>
        <v>#DIV/0!</v>
      </c>
      <c r="I477" s="3" t="s">
        <v>294</v>
      </c>
    </row>
    <row r="478" spans="7:9" x14ac:dyDescent="0.25">
      <c r="G478" s="3">
        <f>1</f>
        <v>1</v>
      </c>
      <c r="H478" s="3" t="e">
        <f>Table1[[#This Row],[Fatalities (air)]]/Table1[[#This Row],[Aboard]]</f>
        <v>#DIV/0!</v>
      </c>
      <c r="I478" s="3" t="s">
        <v>295</v>
      </c>
    </row>
    <row r="479" spans="7:9" x14ac:dyDescent="0.25">
      <c r="G479" s="3">
        <f>1</f>
        <v>1</v>
      </c>
      <c r="H479" s="3" t="e">
        <f>Table1[[#This Row],[Fatalities (air)]]/Table1[[#This Row],[Aboard]]</f>
        <v>#DIV/0!</v>
      </c>
      <c r="I479" s="3" t="s">
        <v>295</v>
      </c>
    </row>
    <row r="480" spans="7:9" x14ac:dyDescent="0.25">
      <c r="G480" s="3">
        <f>1</f>
        <v>1</v>
      </c>
      <c r="H480" s="3" t="e">
        <f>Table1[[#This Row],[Fatalities (air)]]/Table1[[#This Row],[Aboard]]</f>
        <v>#DIV/0!</v>
      </c>
      <c r="I480" s="3" t="s">
        <v>295</v>
      </c>
    </row>
    <row r="481" spans="7:9" x14ac:dyDescent="0.25">
      <c r="G481" s="3">
        <f>1</f>
        <v>1</v>
      </c>
      <c r="H481" s="3" t="e">
        <f>Table1[[#This Row],[Fatalities (air)]]/Table1[[#This Row],[Aboard]]</f>
        <v>#DIV/0!</v>
      </c>
      <c r="I481" s="3" t="s">
        <v>295</v>
      </c>
    </row>
    <row r="482" spans="7:9" x14ac:dyDescent="0.25">
      <c r="G482" s="3">
        <f>1</f>
        <v>1</v>
      </c>
      <c r="H482" s="3" t="e">
        <f>Table1[[#This Row],[Fatalities (air)]]/Table1[[#This Row],[Aboard]]</f>
        <v>#DIV/0!</v>
      </c>
      <c r="I482" s="3" t="s">
        <v>295</v>
      </c>
    </row>
    <row r="483" spans="7:9" x14ac:dyDescent="0.25">
      <c r="G483" s="3">
        <f>1</f>
        <v>1</v>
      </c>
      <c r="H483" s="3" t="e">
        <f>Table1[[#This Row],[Fatalities (air)]]/Table1[[#This Row],[Aboard]]</f>
        <v>#DIV/0!</v>
      </c>
      <c r="I483" s="3" t="s">
        <v>295</v>
      </c>
    </row>
    <row r="484" spans="7:9" x14ac:dyDescent="0.25">
      <c r="G484" s="3">
        <f>1</f>
        <v>1</v>
      </c>
      <c r="H484" s="3" t="e">
        <f>Table1[[#This Row],[Fatalities (air)]]/Table1[[#This Row],[Aboard]]</f>
        <v>#DIV/0!</v>
      </c>
      <c r="I484" s="3" t="s">
        <v>295</v>
      </c>
    </row>
    <row r="485" spans="7:9" x14ac:dyDescent="0.25">
      <c r="G485" s="3">
        <f>1</f>
        <v>1</v>
      </c>
      <c r="H485" s="3" t="e">
        <f>Table1[[#This Row],[Fatalities (air)]]/Table1[[#This Row],[Aboard]]</f>
        <v>#DIV/0!</v>
      </c>
      <c r="I485" s="3" t="s">
        <v>295</v>
      </c>
    </row>
    <row r="486" spans="7:9" x14ac:dyDescent="0.25">
      <c r="G486" s="3">
        <f>1</f>
        <v>1</v>
      </c>
      <c r="H486" s="3" t="e">
        <f>Table1[[#This Row],[Fatalities (air)]]/Table1[[#This Row],[Aboard]]</f>
        <v>#DIV/0!</v>
      </c>
      <c r="I486" s="3" t="s">
        <v>295</v>
      </c>
    </row>
    <row r="487" spans="7:9" x14ac:dyDescent="0.25">
      <c r="G487" s="3">
        <f>1</f>
        <v>1</v>
      </c>
      <c r="H487" s="3" t="e">
        <f>Table1[[#This Row],[Fatalities (air)]]/Table1[[#This Row],[Aboard]]</f>
        <v>#DIV/0!</v>
      </c>
      <c r="I487" s="3" t="s">
        <v>296</v>
      </c>
    </row>
    <row r="488" spans="7:9" x14ac:dyDescent="0.25">
      <c r="G488" s="3">
        <f>1</f>
        <v>1</v>
      </c>
      <c r="H488" s="3" t="e">
        <f>Table1[[#This Row],[Fatalities (air)]]/Table1[[#This Row],[Aboard]]</f>
        <v>#DIV/0!</v>
      </c>
      <c r="I488" s="3" t="s">
        <v>296</v>
      </c>
    </row>
    <row r="489" spans="7:9" x14ac:dyDescent="0.25">
      <c r="G489" s="3">
        <f>1</f>
        <v>1</v>
      </c>
      <c r="H489" s="3" t="e">
        <f>Table1[[#This Row],[Fatalities (air)]]/Table1[[#This Row],[Aboard]]</f>
        <v>#DIV/0!</v>
      </c>
      <c r="I489" s="3" t="s">
        <v>296</v>
      </c>
    </row>
    <row r="490" spans="7:9" x14ac:dyDescent="0.25">
      <c r="G490" s="3">
        <f>1</f>
        <v>1</v>
      </c>
      <c r="H490" s="3" t="e">
        <f>Table1[[#This Row],[Fatalities (air)]]/Table1[[#This Row],[Aboard]]</f>
        <v>#DIV/0!</v>
      </c>
      <c r="I490" s="3" t="s">
        <v>296</v>
      </c>
    </row>
    <row r="491" spans="7:9" x14ac:dyDescent="0.25">
      <c r="G491" s="3">
        <f>1</f>
        <v>1</v>
      </c>
      <c r="H491" s="3" t="e">
        <f>Table1[[#This Row],[Fatalities (air)]]/Table1[[#This Row],[Aboard]]</f>
        <v>#DIV/0!</v>
      </c>
      <c r="I491" s="3" t="s">
        <v>296</v>
      </c>
    </row>
    <row r="492" spans="7:9" x14ac:dyDescent="0.25">
      <c r="G492" s="3">
        <f>1</f>
        <v>1</v>
      </c>
      <c r="H492" s="3" t="e">
        <f>Table1[[#This Row],[Fatalities (air)]]/Table1[[#This Row],[Aboard]]</f>
        <v>#DIV/0!</v>
      </c>
      <c r="I492" s="3" t="s">
        <v>296</v>
      </c>
    </row>
    <row r="493" spans="7:9" x14ac:dyDescent="0.25">
      <c r="G493" s="3">
        <f>1</f>
        <v>1</v>
      </c>
      <c r="H493" s="3" t="e">
        <f>Table1[[#This Row],[Fatalities (air)]]/Table1[[#This Row],[Aboard]]</f>
        <v>#DIV/0!</v>
      </c>
      <c r="I493" s="3" t="s">
        <v>296</v>
      </c>
    </row>
    <row r="494" spans="7:9" x14ac:dyDescent="0.25">
      <c r="G494" s="3">
        <f>1</f>
        <v>1</v>
      </c>
      <c r="H494" s="3" t="e">
        <f>Table1[[#This Row],[Fatalities (air)]]/Table1[[#This Row],[Aboard]]</f>
        <v>#DIV/0!</v>
      </c>
      <c r="I494" s="3" t="s">
        <v>296</v>
      </c>
    </row>
    <row r="495" spans="7:9" x14ac:dyDescent="0.25">
      <c r="G495" s="3">
        <f>1</f>
        <v>1</v>
      </c>
      <c r="H495" s="3" t="e">
        <f>Table1[[#This Row],[Fatalities (air)]]/Table1[[#This Row],[Aboard]]</f>
        <v>#DIV/0!</v>
      </c>
      <c r="I495" s="3" t="s">
        <v>296</v>
      </c>
    </row>
    <row r="496" spans="7:9" x14ac:dyDescent="0.25">
      <c r="G496" s="3">
        <f>1</f>
        <v>1</v>
      </c>
      <c r="H496" s="3" t="e">
        <f>Table1[[#This Row],[Fatalities (air)]]/Table1[[#This Row],[Aboard]]</f>
        <v>#DIV/0!</v>
      </c>
      <c r="I496" s="3" t="s">
        <v>296</v>
      </c>
    </row>
    <row r="497" spans="7:9" x14ac:dyDescent="0.25">
      <c r="G497" s="3">
        <f>1</f>
        <v>1</v>
      </c>
      <c r="H497" s="3" t="e">
        <f>Table1[[#This Row],[Fatalities (air)]]/Table1[[#This Row],[Aboard]]</f>
        <v>#DIV/0!</v>
      </c>
      <c r="I497" s="3" t="s">
        <v>296</v>
      </c>
    </row>
    <row r="498" spans="7:9" x14ac:dyDescent="0.25">
      <c r="G498" s="3">
        <f>1</f>
        <v>1</v>
      </c>
      <c r="H498" s="3" t="e">
        <f>Table1[[#This Row],[Fatalities (air)]]/Table1[[#This Row],[Aboard]]</f>
        <v>#DIV/0!</v>
      </c>
      <c r="I498" s="3" t="s">
        <v>296</v>
      </c>
    </row>
    <row r="499" spans="7:9" x14ac:dyDescent="0.25">
      <c r="G499" s="3">
        <f>1</f>
        <v>1</v>
      </c>
      <c r="H499" s="3" t="e">
        <f>Table1[[#This Row],[Fatalities (air)]]/Table1[[#This Row],[Aboard]]</f>
        <v>#DIV/0!</v>
      </c>
      <c r="I499" s="3" t="s">
        <v>295</v>
      </c>
    </row>
    <row r="500" spans="7:9" x14ac:dyDescent="0.25">
      <c r="G500" s="3">
        <f>1</f>
        <v>1</v>
      </c>
      <c r="H500" s="3" t="e">
        <f>Table1[[#This Row],[Fatalities (air)]]/Table1[[#This Row],[Aboard]]</f>
        <v>#DIV/0!</v>
      </c>
      <c r="I500" s="3" t="s">
        <v>295</v>
      </c>
    </row>
    <row r="501" spans="7:9" x14ac:dyDescent="0.25">
      <c r="G501" s="3">
        <f>1</f>
        <v>1</v>
      </c>
      <c r="H501" s="3" t="e">
        <f>Table1[[#This Row],[Fatalities (air)]]/Table1[[#This Row],[Aboard]]</f>
        <v>#DIV/0!</v>
      </c>
      <c r="I501" s="3" t="s">
        <v>295</v>
      </c>
    </row>
    <row r="502" spans="7:9" x14ac:dyDescent="0.25">
      <c r="G502" s="3">
        <f>1</f>
        <v>1</v>
      </c>
      <c r="H502" s="3" t="e">
        <f>Table1[[#This Row],[Fatalities (air)]]/Table1[[#This Row],[Aboard]]</f>
        <v>#DIV/0!</v>
      </c>
      <c r="I502" s="3" t="s">
        <v>295</v>
      </c>
    </row>
    <row r="503" spans="7:9" x14ac:dyDescent="0.25">
      <c r="G503" s="3">
        <f>1</f>
        <v>1</v>
      </c>
      <c r="H503" s="3" t="e">
        <f>Table1[[#This Row],[Fatalities (air)]]/Table1[[#This Row],[Aboard]]</f>
        <v>#DIV/0!</v>
      </c>
      <c r="I503" s="3" t="s">
        <v>295</v>
      </c>
    </row>
    <row r="504" spans="7:9" x14ac:dyDescent="0.25">
      <c r="G504" s="3">
        <f>1</f>
        <v>1</v>
      </c>
      <c r="H504" s="3" t="e">
        <f>Table1[[#This Row],[Fatalities (air)]]/Table1[[#This Row],[Aboard]]</f>
        <v>#DIV/0!</v>
      </c>
      <c r="I504" s="3" t="s">
        <v>295</v>
      </c>
    </row>
    <row r="505" spans="7:9" x14ac:dyDescent="0.25">
      <c r="G505" s="3">
        <f>1</f>
        <v>1</v>
      </c>
      <c r="H505" s="3" t="e">
        <f>Table1[[#This Row],[Fatalities (air)]]/Table1[[#This Row],[Aboard]]</f>
        <v>#DIV/0!</v>
      </c>
      <c r="I505" s="3" t="s">
        <v>295</v>
      </c>
    </row>
    <row r="506" spans="7:9" x14ac:dyDescent="0.25">
      <c r="G506" s="3">
        <f>1</f>
        <v>1</v>
      </c>
      <c r="H506" s="3" t="e">
        <f>Table1[[#This Row],[Fatalities (air)]]/Table1[[#This Row],[Aboard]]</f>
        <v>#DIV/0!</v>
      </c>
      <c r="I506" s="3" t="s">
        <v>295</v>
      </c>
    </row>
    <row r="507" spans="7:9" x14ac:dyDescent="0.25">
      <c r="G507" s="3">
        <f>1</f>
        <v>1</v>
      </c>
      <c r="H507" s="3" t="e">
        <f>Table1[[#This Row],[Fatalities (air)]]/Table1[[#This Row],[Aboard]]</f>
        <v>#DIV/0!</v>
      </c>
      <c r="I507" s="3" t="s">
        <v>295</v>
      </c>
    </row>
    <row r="508" spans="7:9" x14ac:dyDescent="0.25">
      <c r="G508" s="3">
        <f>1</f>
        <v>1</v>
      </c>
      <c r="H508" s="3" t="e">
        <f>Table1[[#This Row],[Fatalities (air)]]/Table1[[#This Row],[Aboard]]</f>
        <v>#DIV/0!</v>
      </c>
      <c r="I508" s="3" t="s">
        <v>295</v>
      </c>
    </row>
    <row r="509" spans="7:9" x14ac:dyDescent="0.25">
      <c r="G509" s="3">
        <f>1</f>
        <v>1</v>
      </c>
      <c r="H509" s="3" t="e">
        <f>Table1[[#This Row],[Fatalities (air)]]/Table1[[#This Row],[Aboard]]</f>
        <v>#DIV/0!</v>
      </c>
      <c r="I509" s="3" t="s">
        <v>295</v>
      </c>
    </row>
    <row r="510" spans="7:9" x14ac:dyDescent="0.25">
      <c r="G510" s="3">
        <f>1</f>
        <v>1</v>
      </c>
      <c r="H510" s="3" t="e">
        <f>Table1[[#This Row],[Fatalities (air)]]/Table1[[#This Row],[Aboard]]</f>
        <v>#DIV/0!</v>
      </c>
      <c r="I510" s="3" t="s">
        <v>295</v>
      </c>
    </row>
    <row r="511" spans="7:9" x14ac:dyDescent="0.25">
      <c r="G511" s="3">
        <f>1</f>
        <v>1</v>
      </c>
      <c r="H511" s="3" t="e">
        <f>Table1[[#This Row],[Fatalities (air)]]/Table1[[#This Row],[Aboard]]</f>
        <v>#DIV/0!</v>
      </c>
      <c r="I511" s="3" t="s">
        <v>295</v>
      </c>
    </row>
    <row r="512" spans="7:9" x14ac:dyDescent="0.25">
      <c r="G512" s="3">
        <f>1</f>
        <v>1</v>
      </c>
      <c r="H512" s="3" t="e">
        <f>Table1[[#This Row],[Fatalities (air)]]/Table1[[#This Row],[Aboard]]</f>
        <v>#DIV/0!</v>
      </c>
      <c r="I512" s="3" t="s">
        <v>295</v>
      </c>
    </row>
    <row r="513" spans="7:9" x14ac:dyDescent="0.25">
      <c r="G513" s="3">
        <f>1</f>
        <v>1</v>
      </c>
      <c r="H513" s="3" t="e">
        <f>Table1[[#This Row],[Fatalities (air)]]/Table1[[#This Row],[Aboard]]</f>
        <v>#DIV/0!</v>
      </c>
      <c r="I513" s="3" t="s">
        <v>295</v>
      </c>
    </row>
    <row r="514" spans="7:9" x14ac:dyDescent="0.25">
      <c r="G514" s="3">
        <f>1</f>
        <v>1</v>
      </c>
      <c r="H514" s="3" t="e">
        <f>Table1[[#This Row],[Fatalities (air)]]/Table1[[#This Row],[Aboard]]</f>
        <v>#DIV/0!</v>
      </c>
      <c r="I514" s="3" t="s">
        <v>295</v>
      </c>
    </row>
    <row r="515" spans="7:9" x14ac:dyDescent="0.25">
      <c r="G515" s="3">
        <f>1</f>
        <v>1</v>
      </c>
      <c r="H515" s="3" t="e">
        <f>Table1[[#This Row],[Fatalities (air)]]/Table1[[#This Row],[Aboard]]</f>
        <v>#DIV/0!</v>
      </c>
      <c r="I515" s="3" t="s">
        <v>295</v>
      </c>
    </row>
    <row r="516" spans="7:9" x14ac:dyDescent="0.25">
      <c r="G516" s="3">
        <f>1</f>
        <v>1</v>
      </c>
      <c r="H516" s="3" t="e">
        <f>Table1[[#This Row],[Fatalities (air)]]/Table1[[#This Row],[Aboard]]</f>
        <v>#DIV/0!</v>
      </c>
      <c r="I516" s="3" t="s">
        <v>297</v>
      </c>
    </row>
    <row r="517" spans="7:9" x14ac:dyDescent="0.25">
      <c r="G517" s="3">
        <f>1</f>
        <v>1</v>
      </c>
      <c r="H517" s="3" t="e">
        <f>Table1[[#This Row],[Fatalities (air)]]/Table1[[#This Row],[Aboard]]</f>
        <v>#DIV/0!</v>
      </c>
      <c r="I517" s="3" t="s">
        <v>294</v>
      </c>
    </row>
    <row r="518" spans="7:9" x14ac:dyDescent="0.25">
      <c r="G518" s="3">
        <f>1</f>
        <v>1</v>
      </c>
      <c r="H518" s="3" t="e">
        <f>Table1[[#This Row],[Fatalities (air)]]/Table1[[#This Row],[Aboard]]</f>
        <v>#DIV/0!</v>
      </c>
      <c r="I518" s="3" t="s">
        <v>294</v>
      </c>
    </row>
    <row r="519" spans="7:9" x14ac:dyDescent="0.25">
      <c r="G519" s="3">
        <f>1</f>
        <v>1</v>
      </c>
      <c r="H519" s="3" t="e">
        <f>Table1[[#This Row],[Fatalities (air)]]/Table1[[#This Row],[Aboard]]</f>
        <v>#DIV/0!</v>
      </c>
      <c r="I519" s="3" t="s">
        <v>294</v>
      </c>
    </row>
    <row r="520" spans="7:9" x14ac:dyDescent="0.25">
      <c r="G520" s="3">
        <f>1</f>
        <v>1</v>
      </c>
      <c r="H520" s="3" t="e">
        <f>Table1[[#This Row],[Fatalities (air)]]/Table1[[#This Row],[Aboard]]</f>
        <v>#DIV/0!</v>
      </c>
      <c r="I520" s="3" t="s">
        <v>294</v>
      </c>
    </row>
    <row r="521" spans="7:9" x14ac:dyDescent="0.25">
      <c r="G521" s="3">
        <f>1</f>
        <v>1</v>
      </c>
      <c r="H521" s="3" t="e">
        <f>Table1[[#This Row],[Fatalities (air)]]/Table1[[#This Row],[Aboard]]</f>
        <v>#DIV/0!</v>
      </c>
      <c r="I521" s="3" t="s">
        <v>294</v>
      </c>
    </row>
    <row r="522" spans="7:9" x14ac:dyDescent="0.25">
      <c r="G522" s="3">
        <f>1</f>
        <v>1</v>
      </c>
      <c r="H522" s="3" t="e">
        <f>Table1[[#This Row],[Fatalities (air)]]/Table1[[#This Row],[Aboard]]</f>
        <v>#DIV/0!</v>
      </c>
      <c r="I522" s="3" t="s">
        <v>294</v>
      </c>
    </row>
    <row r="523" spans="7:9" x14ac:dyDescent="0.25">
      <c r="G523" s="3">
        <f>1</f>
        <v>1</v>
      </c>
      <c r="H523" s="3" t="e">
        <f>Table1[[#This Row],[Fatalities (air)]]/Table1[[#This Row],[Aboard]]</f>
        <v>#DIV/0!</v>
      </c>
      <c r="I523" s="3" t="s">
        <v>294</v>
      </c>
    </row>
    <row r="524" spans="7:9" x14ac:dyDescent="0.25">
      <c r="G524" s="3">
        <f>1</f>
        <v>1</v>
      </c>
      <c r="H524" s="3" t="e">
        <f>Table1[[#This Row],[Fatalities (air)]]/Table1[[#This Row],[Aboard]]</f>
        <v>#DIV/0!</v>
      </c>
      <c r="I524" s="3" t="s">
        <v>294</v>
      </c>
    </row>
    <row r="525" spans="7:9" x14ac:dyDescent="0.25">
      <c r="G525" s="3">
        <f>1</f>
        <v>1</v>
      </c>
      <c r="H525" s="3" t="e">
        <f>Table1[[#This Row],[Fatalities (air)]]/Table1[[#This Row],[Aboard]]</f>
        <v>#DIV/0!</v>
      </c>
      <c r="I525" s="3" t="s">
        <v>294</v>
      </c>
    </row>
    <row r="526" spans="7:9" x14ac:dyDescent="0.25">
      <c r="G526" s="3">
        <f>1</f>
        <v>1</v>
      </c>
      <c r="H526" s="3" t="e">
        <f>Table1[[#This Row],[Fatalities (air)]]/Table1[[#This Row],[Aboard]]</f>
        <v>#DIV/0!</v>
      </c>
      <c r="I526" s="3" t="s">
        <v>294</v>
      </c>
    </row>
    <row r="527" spans="7:9" x14ac:dyDescent="0.25">
      <c r="G527" s="3">
        <f>1</f>
        <v>1</v>
      </c>
      <c r="H527" s="3" t="e">
        <f>Table1[[#This Row],[Fatalities (air)]]/Table1[[#This Row],[Aboard]]</f>
        <v>#DIV/0!</v>
      </c>
      <c r="I527" s="3" t="s">
        <v>294</v>
      </c>
    </row>
    <row r="528" spans="7:9" x14ac:dyDescent="0.25">
      <c r="G528" s="3">
        <f>1</f>
        <v>1</v>
      </c>
      <c r="H528" s="3" t="e">
        <f>Table1[[#This Row],[Fatalities (air)]]/Table1[[#This Row],[Aboard]]</f>
        <v>#DIV/0!</v>
      </c>
      <c r="I528" s="3" t="s">
        <v>294</v>
      </c>
    </row>
    <row r="529" spans="7:9" x14ac:dyDescent="0.25">
      <c r="G529" s="3">
        <f>1</f>
        <v>1</v>
      </c>
      <c r="H529" s="3" t="e">
        <f>Table1[[#This Row],[Fatalities (air)]]/Table1[[#This Row],[Aboard]]</f>
        <v>#DIV/0!</v>
      </c>
      <c r="I529" s="3" t="s">
        <v>294</v>
      </c>
    </row>
    <row r="530" spans="7:9" x14ac:dyDescent="0.25">
      <c r="G530" s="3">
        <f>1</f>
        <v>1</v>
      </c>
      <c r="H530" s="3" t="e">
        <f>Table1[[#This Row],[Fatalities (air)]]/Table1[[#This Row],[Aboard]]</f>
        <v>#DIV/0!</v>
      </c>
      <c r="I530" s="3" t="s">
        <v>294</v>
      </c>
    </row>
    <row r="531" spans="7:9" x14ac:dyDescent="0.25">
      <c r="G531" s="3">
        <f>1</f>
        <v>1</v>
      </c>
      <c r="H531" s="3" t="e">
        <f>Table1[[#This Row],[Fatalities (air)]]/Table1[[#This Row],[Aboard]]</f>
        <v>#DIV/0!</v>
      </c>
      <c r="I531" s="3" t="s">
        <v>294</v>
      </c>
    </row>
    <row r="532" spans="7:9" x14ac:dyDescent="0.25">
      <c r="G532" s="3">
        <f>1</f>
        <v>1</v>
      </c>
      <c r="H532" s="3" t="e">
        <f>Table1[[#This Row],[Fatalities (air)]]/Table1[[#This Row],[Aboard]]</f>
        <v>#DIV/0!</v>
      </c>
      <c r="I532" s="3" t="s">
        <v>294</v>
      </c>
    </row>
    <row r="533" spans="7:9" x14ac:dyDescent="0.25">
      <c r="G533" s="3">
        <f>1</f>
        <v>1</v>
      </c>
      <c r="H533" s="3" t="e">
        <f>Table1[[#This Row],[Fatalities (air)]]/Table1[[#This Row],[Aboard]]</f>
        <v>#DIV/0!</v>
      </c>
      <c r="I533" s="3" t="s">
        <v>294</v>
      </c>
    </row>
    <row r="534" spans="7:9" x14ac:dyDescent="0.25">
      <c r="G534" s="3">
        <f>1</f>
        <v>1</v>
      </c>
      <c r="H534" s="3" t="e">
        <f>Table1[[#This Row],[Fatalities (air)]]/Table1[[#This Row],[Aboard]]</f>
        <v>#DIV/0!</v>
      </c>
      <c r="I534" s="3" t="s">
        <v>294</v>
      </c>
    </row>
    <row r="535" spans="7:9" x14ac:dyDescent="0.25">
      <c r="G535" s="3">
        <f>1</f>
        <v>1</v>
      </c>
      <c r="H535" s="3" t="e">
        <f>Table1[[#This Row],[Fatalities (air)]]/Table1[[#This Row],[Aboard]]</f>
        <v>#DIV/0!</v>
      </c>
      <c r="I535" s="3" t="s">
        <v>294</v>
      </c>
    </row>
    <row r="536" spans="7:9" x14ac:dyDescent="0.25">
      <c r="G536" s="3">
        <f>1</f>
        <v>1</v>
      </c>
      <c r="H536" s="3" t="e">
        <f>Table1[[#This Row],[Fatalities (air)]]/Table1[[#This Row],[Aboard]]</f>
        <v>#DIV/0!</v>
      </c>
      <c r="I536" s="3" t="s">
        <v>297</v>
      </c>
    </row>
    <row r="537" spans="7:9" x14ac:dyDescent="0.25">
      <c r="G537" s="3">
        <f>1</f>
        <v>1</v>
      </c>
      <c r="H537" s="3" t="e">
        <f>Table1[[#This Row],[Fatalities (air)]]/Table1[[#This Row],[Aboard]]</f>
        <v>#DIV/0!</v>
      </c>
      <c r="I537" s="3" t="s">
        <v>297</v>
      </c>
    </row>
    <row r="538" spans="7:9" x14ac:dyDescent="0.25">
      <c r="G538" s="3">
        <f>1</f>
        <v>1</v>
      </c>
      <c r="H538" s="3" t="e">
        <f>Table1[[#This Row],[Fatalities (air)]]/Table1[[#This Row],[Aboard]]</f>
        <v>#DIV/0!</v>
      </c>
      <c r="I538" s="3" t="s">
        <v>295</v>
      </c>
    </row>
    <row r="539" spans="7:9" x14ac:dyDescent="0.25">
      <c r="G539" s="3">
        <f>1</f>
        <v>1</v>
      </c>
      <c r="H539" s="3" t="e">
        <f>Table1[[#This Row],[Fatalities (air)]]/Table1[[#This Row],[Aboard]]</f>
        <v>#DIV/0!</v>
      </c>
      <c r="I539" s="3" t="s">
        <v>295</v>
      </c>
    </row>
    <row r="540" spans="7:9" x14ac:dyDescent="0.25">
      <c r="G540" s="3">
        <f>1</f>
        <v>1</v>
      </c>
      <c r="H540" s="3" t="e">
        <f>Table1[[#This Row],[Fatalities (air)]]/Table1[[#This Row],[Aboard]]</f>
        <v>#DIV/0!</v>
      </c>
      <c r="I540" s="3" t="s">
        <v>295</v>
      </c>
    </row>
    <row r="541" spans="7:9" x14ac:dyDescent="0.25">
      <c r="G541" s="3">
        <f>1</f>
        <v>1</v>
      </c>
      <c r="H541" s="3" t="e">
        <f>Table1[[#This Row],[Fatalities (air)]]/Table1[[#This Row],[Aboard]]</f>
        <v>#DIV/0!</v>
      </c>
      <c r="I541" s="3" t="s">
        <v>297</v>
      </c>
    </row>
    <row r="542" spans="7:9" x14ac:dyDescent="0.25">
      <c r="G542" s="3">
        <f>1</f>
        <v>1</v>
      </c>
      <c r="H542" s="3" t="e">
        <f>Table1[[#This Row],[Fatalities (air)]]/Table1[[#This Row],[Aboard]]</f>
        <v>#DIV/0!</v>
      </c>
      <c r="I542" s="3" t="s">
        <v>294</v>
      </c>
    </row>
    <row r="543" spans="7:9" x14ac:dyDescent="0.25">
      <c r="G543" s="3">
        <f>1</f>
        <v>1</v>
      </c>
      <c r="H543" s="3" t="e">
        <f>Table1[[#This Row],[Fatalities (air)]]/Table1[[#This Row],[Aboard]]</f>
        <v>#DIV/0!</v>
      </c>
      <c r="I543" s="3" t="s">
        <v>294</v>
      </c>
    </row>
    <row r="544" spans="7:9" x14ac:dyDescent="0.25">
      <c r="G544" s="3">
        <f>1</f>
        <v>1</v>
      </c>
      <c r="H544" s="3" t="e">
        <f>Table1[[#This Row],[Fatalities (air)]]/Table1[[#This Row],[Aboard]]</f>
        <v>#DIV/0!</v>
      </c>
      <c r="I544" s="3" t="s">
        <v>294</v>
      </c>
    </row>
    <row r="545" spans="7:9" x14ac:dyDescent="0.25">
      <c r="G545" s="3">
        <f>1</f>
        <v>1</v>
      </c>
      <c r="H545" s="3" t="e">
        <f>Table1[[#This Row],[Fatalities (air)]]/Table1[[#This Row],[Aboard]]</f>
        <v>#DIV/0!</v>
      </c>
      <c r="I545" s="3" t="s">
        <v>294</v>
      </c>
    </row>
    <row r="546" spans="7:9" x14ac:dyDescent="0.25">
      <c r="G546" s="3">
        <f>1</f>
        <v>1</v>
      </c>
      <c r="H546" s="3" t="e">
        <f>Table1[[#This Row],[Fatalities (air)]]/Table1[[#This Row],[Aboard]]</f>
        <v>#DIV/0!</v>
      </c>
      <c r="I546" s="3" t="s">
        <v>295</v>
      </c>
    </row>
    <row r="547" spans="7:9" x14ac:dyDescent="0.25">
      <c r="G547" s="3">
        <f>1</f>
        <v>1</v>
      </c>
      <c r="H547" s="3" t="e">
        <f>Table1[[#This Row],[Fatalities (air)]]/Table1[[#This Row],[Aboard]]</f>
        <v>#DIV/0!</v>
      </c>
      <c r="I547" s="3" t="s">
        <v>295</v>
      </c>
    </row>
    <row r="548" spans="7:9" x14ac:dyDescent="0.25">
      <c r="G548" s="3">
        <f>1</f>
        <v>1</v>
      </c>
      <c r="H548" s="3" t="e">
        <f>Table1[[#This Row],[Fatalities (air)]]/Table1[[#This Row],[Aboard]]</f>
        <v>#DIV/0!</v>
      </c>
      <c r="I548" s="3" t="s">
        <v>295</v>
      </c>
    </row>
    <row r="549" spans="7:9" x14ac:dyDescent="0.25">
      <c r="G549" s="3">
        <f>1</f>
        <v>1</v>
      </c>
      <c r="H549" s="3" t="e">
        <f>Table1[[#This Row],[Fatalities (air)]]/Table1[[#This Row],[Aboard]]</f>
        <v>#DIV/0!</v>
      </c>
      <c r="I549" s="3" t="s">
        <v>295</v>
      </c>
    </row>
    <row r="550" spans="7:9" x14ac:dyDescent="0.25">
      <c r="G550" s="3">
        <f>1</f>
        <v>1</v>
      </c>
      <c r="H550" s="3" t="e">
        <f>Table1[[#This Row],[Fatalities (air)]]/Table1[[#This Row],[Aboard]]</f>
        <v>#DIV/0!</v>
      </c>
      <c r="I550" s="3" t="s">
        <v>295</v>
      </c>
    </row>
    <row r="551" spans="7:9" x14ac:dyDescent="0.25">
      <c r="G551" s="3">
        <f>1</f>
        <v>1</v>
      </c>
      <c r="H551" s="3" t="e">
        <f>Table1[[#This Row],[Fatalities (air)]]/Table1[[#This Row],[Aboard]]</f>
        <v>#DIV/0!</v>
      </c>
      <c r="I551" s="3" t="s">
        <v>295</v>
      </c>
    </row>
    <row r="552" spans="7:9" x14ac:dyDescent="0.25">
      <c r="G552" s="3">
        <f>1</f>
        <v>1</v>
      </c>
      <c r="H552" s="3" t="e">
        <f>Table1[[#This Row],[Fatalities (air)]]/Table1[[#This Row],[Aboard]]</f>
        <v>#DIV/0!</v>
      </c>
      <c r="I552" s="3" t="s">
        <v>295</v>
      </c>
    </row>
    <row r="553" spans="7:9" x14ac:dyDescent="0.25">
      <c r="G553" s="3">
        <f>1</f>
        <v>1</v>
      </c>
      <c r="H553" s="3" t="e">
        <f>Table1[[#This Row],[Fatalities (air)]]/Table1[[#This Row],[Aboard]]</f>
        <v>#DIV/0!</v>
      </c>
      <c r="I553" s="3" t="s">
        <v>295</v>
      </c>
    </row>
    <row r="554" spans="7:9" x14ac:dyDescent="0.25">
      <c r="G554" s="3">
        <f>1</f>
        <v>1</v>
      </c>
      <c r="H554" s="3" t="e">
        <f>Table1[[#This Row],[Fatalities (air)]]/Table1[[#This Row],[Aboard]]</f>
        <v>#DIV/0!</v>
      </c>
      <c r="I554" s="3" t="s">
        <v>295</v>
      </c>
    </row>
    <row r="555" spans="7:9" x14ac:dyDescent="0.25">
      <c r="G555" s="3">
        <f>1</f>
        <v>1</v>
      </c>
      <c r="H555" s="3" t="e">
        <f>Table1[[#This Row],[Fatalities (air)]]/Table1[[#This Row],[Aboard]]</f>
        <v>#DIV/0!</v>
      </c>
      <c r="I555" s="3" t="s">
        <v>295</v>
      </c>
    </row>
    <row r="556" spans="7:9" x14ac:dyDescent="0.25">
      <c r="G556" s="3">
        <f>1</f>
        <v>1</v>
      </c>
      <c r="H556" s="3" t="e">
        <f>Table1[[#This Row],[Fatalities (air)]]/Table1[[#This Row],[Aboard]]</f>
        <v>#DIV/0!</v>
      </c>
      <c r="I556" s="3" t="s">
        <v>295</v>
      </c>
    </row>
    <row r="557" spans="7:9" x14ac:dyDescent="0.25">
      <c r="G557" s="3">
        <f>1</f>
        <v>1</v>
      </c>
      <c r="H557" s="3" t="e">
        <f>Table1[[#This Row],[Fatalities (air)]]/Table1[[#This Row],[Aboard]]</f>
        <v>#DIV/0!</v>
      </c>
      <c r="I557" s="3" t="s">
        <v>295</v>
      </c>
    </row>
    <row r="558" spans="7:9" x14ac:dyDescent="0.25">
      <c r="G558" s="3">
        <f>1</f>
        <v>1</v>
      </c>
      <c r="H558" s="3" t="e">
        <f>Table1[[#This Row],[Fatalities (air)]]/Table1[[#This Row],[Aboard]]</f>
        <v>#DIV/0!</v>
      </c>
      <c r="I558" s="3" t="s">
        <v>295</v>
      </c>
    </row>
    <row r="559" spans="7:9" x14ac:dyDescent="0.25">
      <c r="G559" s="3">
        <f>1</f>
        <v>1</v>
      </c>
      <c r="H559" s="3" t="e">
        <f>Table1[[#This Row],[Fatalities (air)]]/Table1[[#This Row],[Aboard]]</f>
        <v>#DIV/0!</v>
      </c>
      <c r="I559" s="3" t="s">
        <v>295</v>
      </c>
    </row>
    <row r="560" spans="7:9" x14ac:dyDescent="0.25">
      <c r="G560" s="3">
        <f>1</f>
        <v>1</v>
      </c>
      <c r="H560" s="3" t="e">
        <f>Table1[[#This Row],[Fatalities (air)]]/Table1[[#This Row],[Aboard]]</f>
        <v>#DIV/0!</v>
      </c>
      <c r="I560" s="3" t="s">
        <v>296</v>
      </c>
    </row>
    <row r="561" spans="7:9" x14ac:dyDescent="0.25">
      <c r="G561" s="3">
        <f>1</f>
        <v>1</v>
      </c>
      <c r="H561" s="3" t="e">
        <f>Table1[[#This Row],[Fatalities (air)]]/Table1[[#This Row],[Aboard]]</f>
        <v>#DIV/0!</v>
      </c>
      <c r="I561" s="3" t="s">
        <v>296</v>
      </c>
    </row>
    <row r="562" spans="7:9" x14ac:dyDescent="0.25">
      <c r="G562" s="3">
        <f>1</f>
        <v>1</v>
      </c>
      <c r="H562" s="3" t="e">
        <f>Table1[[#This Row],[Fatalities (air)]]/Table1[[#This Row],[Aboard]]</f>
        <v>#DIV/0!</v>
      </c>
      <c r="I562" s="3" t="s">
        <v>296</v>
      </c>
    </row>
    <row r="563" spans="7:9" x14ac:dyDescent="0.25">
      <c r="G563" s="3">
        <f>1</f>
        <v>1</v>
      </c>
      <c r="H563" s="3" t="e">
        <f>Table1[[#This Row],[Fatalities (air)]]/Table1[[#This Row],[Aboard]]</f>
        <v>#DIV/0!</v>
      </c>
      <c r="I563" s="3" t="s">
        <v>296</v>
      </c>
    </row>
    <row r="564" spans="7:9" x14ac:dyDescent="0.25">
      <c r="G564" s="3">
        <f>1</f>
        <v>1</v>
      </c>
      <c r="H564" s="3" t="e">
        <f>Table1[[#This Row],[Fatalities (air)]]/Table1[[#This Row],[Aboard]]</f>
        <v>#DIV/0!</v>
      </c>
      <c r="I564" s="3" t="s">
        <v>296</v>
      </c>
    </row>
    <row r="565" spans="7:9" x14ac:dyDescent="0.25">
      <c r="G565" s="3">
        <f>1</f>
        <v>1</v>
      </c>
      <c r="H565" s="3" t="e">
        <f>Table1[[#This Row],[Fatalities (air)]]/Table1[[#This Row],[Aboard]]</f>
        <v>#DIV/0!</v>
      </c>
      <c r="I565" s="3" t="s">
        <v>296</v>
      </c>
    </row>
    <row r="566" spans="7:9" x14ac:dyDescent="0.25">
      <c r="G566" s="3">
        <f>1</f>
        <v>1</v>
      </c>
      <c r="H566" s="3" t="e">
        <f>Table1[[#This Row],[Fatalities (air)]]/Table1[[#This Row],[Aboard]]</f>
        <v>#DIV/0!</v>
      </c>
      <c r="I566" s="3" t="s">
        <v>296</v>
      </c>
    </row>
    <row r="567" spans="7:9" x14ac:dyDescent="0.25">
      <c r="G567" s="3">
        <f>1</f>
        <v>1</v>
      </c>
      <c r="H567" s="3" t="e">
        <f>Table1[[#This Row],[Fatalities (air)]]/Table1[[#This Row],[Aboard]]</f>
        <v>#DIV/0!</v>
      </c>
      <c r="I567" s="3" t="s">
        <v>296</v>
      </c>
    </row>
    <row r="568" spans="7:9" x14ac:dyDescent="0.25">
      <c r="G568" s="3">
        <f>1</f>
        <v>1</v>
      </c>
      <c r="H568" s="3" t="e">
        <f>Table1[[#This Row],[Fatalities (air)]]/Table1[[#This Row],[Aboard]]</f>
        <v>#DIV/0!</v>
      </c>
      <c r="I568" s="3" t="s">
        <v>296</v>
      </c>
    </row>
    <row r="569" spans="7:9" x14ac:dyDescent="0.25">
      <c r="G569" s="3">
        <f>1</f>
        <v>1</v>
      </c>
      <c r="H569" s="3" t="e">
        <f>Table1[[#This Row],[Fatalities (air)]]/Table1[[#This Row],[Aboard]]</f>
        <v>#DIV/0!</v>
      </c>
      <c r="I569" s="3" t="s">
        <v>296</v>
      </c>
    </row>
    <row r="570" spans="7:9" x14ac:dyDescent="0.25">
      <c r="G570" s="3">
        <f>1</f>
        <v>1</v>
      </c>
      <c r="H570" s="3" t="e">
        <f>Table1[[#This Row],[Fatalities (air)]]/Table1[[#This Row],[Aboard]]</f>
        <v>#DIV/0!</v>
      </c>
      <c r="I570" s="3" t="s">
        <v>296</v>
      </c>
    </row>
    <row r="571" spans="7:9" x14ac:dyDescent="0.25">
      <c r="G571" s="3">
        <f>1</f>
        <v>1</v>
      </c>
      <c r="H571" s="3" t="e">
        <f>Table1[[#This Row],[Fatalities (air)]]/Table1[[#This Row],[Aboard]]</f>
        <v>#DIV/0!</v>
      </c>
      <c r="I571" s="3" t="s">
        <v>296</v>
      </c>
    </row>
    <row r="572" spans="7:9" x14ac:dyDescent="0.25">
      <c r="G572" s="3">
        <f>1</f>
        <v>1</v>
      </c>
      <c r="H572" s="3" t="e">
        <f>Table1[[#This Row],[Fatalities (air)]]/Table1[[#This Row],[Aboard]]</f>
        <v>#DIV/0!</v>
      </c>
      <c r="I572" s="3" t="s">
        <v>296</v>
      </c>
    </row>
    <row r="573" spans="7:9" x14ac:dyDescent="0.25">
      <c r="G573" s="3">
        <f>1</f>
        <v>1</v>
      </c>
      <c r="H573" s="3" t="e">
        <f>Table1[[#This Row],[Fatalities (air)]]/Table1[[#This Row],[Aboard]]</f>
        <v>#DIV/0!</v>
      </c>
      <c r="I573" s="3" t="s">
        <v>295</v>
      </c>
    </row>
    <row r="574" spans="7:9" x14ac:dyDescent="0.25">
      <c r="G574" s="3">
        <f>1</f>
        <v>1</v>
      </c>
      <c r="H574" s="3" t="e">
        <f>Table1[[#This Row],[Fatalities (air)]]/Table1[[#This Row],[Aboard]]</f>
        <v>#DIV/0!</v>
      </c>
      <c r="I574" s="3" t="s">
        <v>295</v>
      </c>
    </row>
    <row r="575" spans="7:9" x14ac:dyDescent="0.25">
      <c r="G575" s="3">
        <f>1</f>
        <v>1</v>
      </c>
      <c r="H575" s="3" t="e">
        <f>Table1[[#This Row],[Fatalities (air)]]/Table1[[#This Row],[Aboard]]</f>
        <v>#DIV/0!</v>
      </c>
      <c r="I575" s="3" t="s">
        <v>295</v>
      </c>
    </row>
    <row r="576" spans="7:9" x14ac:dyDescent="0.25">
      <c r="G576" s="3">
        <f>1</f>
        <v>1</v>
      </c>
      <c r="H576" s="3" t="e">
        <f>Table1[[#This Row],[Fatalities (air)]]/Table1[[#This Row],[Aboard]]</f>
        <v>#DIV/0!</v>
      </c>
      <c r="I576" s="3" t="s">
        <v>295</v>
      </c>
    </row>
    <row r="577" spans="7:9" x14ac:dyDescent="0.25">
      <c r="G577" s="3">
        <f>1</f>
        <v>1</v>
      </c>
      <c r="H577" s="3" t="e">
        <f>Table1[[#This Row],[Fatalities (air)]]/Table1[[#This Row],[Aboard]]</f>
        <v>#DIV/0!</v>
      </c>
      <c r="I577" s="3" t="s">
        <v>295</v>
      </c>
    </row>
    <row r="578" spans="7:9" x14ac:dyDescent="0.25">
      <c r="G578" s="3">
        <f>1</f>
        <v>1</v>
      </c>
      <c r="H578" s="3" t="e">
        <f>Table1[[#This Row],[Fatalities (air)]]/Table1[[#This Row],[Aboard]]</f>
        <v>#DIV/0!</v>
      </c>
      <c r="I578" s="3" t="s">
        <v>295</v>
      </c>
    </row>
    <row r="579" spans="7:9" x14ac:dyDescent="0.25">
      <c r="G579" s="3">
        <f>1</f>
        <v>1</v>
      </c>
      <c r="H579" s="3" t="e">
        <f>Table1[[#This Row],[Fatalities (air)]]/Table1[[#This Row],[Aboard]]</f>
        <v>#DIV/0!</v>
      </c>
      <c r="I579" s="3" t="s">
        <v>295</v>
      </c>
    </row>
    <row r="580" spans="7:9" x14ac:dyDescent="0.25">
      <c r="G580" s="3">
        <f>1</f>
        <v>1</v>
      </c>
      <c r="H580" s="3" t="e">
        <f>Table1[[#This Row],[Fatalities (air)]]/Table1[[#This Row],[Aboard]]</f>
        <v>#DIV/0!</v>
      </c>
      <c r="I580" s="3" t="s">
        <v>295</v>
      </c>
    </row>
    <row r="581" spans="7:9" x14ac:dyDescent="0.25">
      <c r="G581" s="3">
        <f>1</f>
        <v>1</v>
      </c>
      <c r="H581" s="3" t="e">
        <f>Table1[[#This Row],[Fatalities (air)]]/Table1[[#This Row],[Aboard]]</f>
        <v>#DIV/0!</v>
      </c>
      <c r="I581" s="3" t="s">
        <v>295</v>
      </c>
    </row>
    <row r="582" spans="7:9" x14ac:dyDescent="0.25">
      <c r="G582" s="3">
        <f>1</f>
        <v>1</v>
      </c>
      <c r="H582" s="3" t="e">
        <f>Table1[[#This Row],[Fatalities (air)]]/Table1[[#This Row],[Aboard]]</f>
        <v>#DIV/0!</v>
      </c>
      <c r="I582" s="3" t="s">
        <v>294</v>
      </c>
    </row>
    <row r="583" spans="7:9" x14ac:dyDescent="0.25">
      <c r="G583" s="3">
        <f>1</f>
        <v>1</v>
      </c>
      <c r="H583" s="3" t="e">
        <f>Table1[[#This Row],[Fatalities (air)]]/Table1[[#This Row],[Aboard]]</f>
        <v>#DIV/0!</v>
      </c>
      <c r="I583" s="3" t="s">
        <v>294</v>
      </c>
    </row>
    <row r="584" spans="7:9" x14ac:dyDescent="0.25">
      <c r="G584" s="3">
        <f>1</f>
        <v>1</v>
      </c>
      <c r="H584" s="3" t="e">
        <f>Table1[[#This Row],[Fatalities (air)]]/Table1[[#This Row],[Aboard]]</f>
        <v>#DIV/0!</v>
      </c>
      <c r="I584" s="3" t="s">
        <v>294</v>
      </c>
    </row>
    <row r="585" spans="7:9" x14ac:dyDescent="0.25">
      <c r="G585" s="3">
        <f>1</f>
        <v>1</v>
      </c>
      <c r="H585" s="3" t="e">
        <f>Table1[[#This Row],[Fatalities (air)]]/Table1[[#This Row],[Aboard]]</f>
        <v>#DIV/0!</v>
      </c>
      <c r="I585" s="3" t="s">
        <v>294</v>
      </c>
    </row>
    <row r="586" spans="7:9" x14ac:dyDescent="0.25">
      <c r="G586" s="3">
        <f>1</f>
        <v>1</v>
      </c>
      <c r="H586" s="3" t="e">
        <f>Table1[[#This Row],[Fatalities (air)]]/Table1[[#This Row],[Aboard]]</f>
        <v>#DIV/0!</v>
      </c>
      <c r="I586" s="3" t="s">
        <v>294</v>
      </c>
    </row>
    <row r="587" spans="7:9" x14ac:dyDescent="0.25">
      <c r="G587" s="3">
        <f>1</f>
        <v>1</v>
      </c>
      <c r="H587" s="3" t="e">
        <f>Table1[[#This Row],[Fatalities (air)]]/Table1[[#This Row],[Aboard]]</f>
        <v>#DIV/0!</v>
      </c>
      <c r="I587" s="3" t="s">
        <v>294</v>
      </c>
    </row>
    <row r="588" spans="7:9" x14ac:dyDescent="0.25">
      <c r="G588" s="3">
        <f>1</f>
        <v>1</v>
      </c>
      <c r="H588" s="3" t="e">
        <f>Table1[[#This Row],[Fatalities (air)]]/Table1[[#This Row],[Aboard]]</f>
        <v>#DIV/0!</v>
      </c>
      <c r="I588" s="3" t="s">
        <v>294</v>
      </c>
    </row>
    <row r="589" spans="7:9" x14ac:dyDescent="0.25">
      <c r="G589" s="3">
        <f>1</f>
        <v>1</v>
      </c>
      <c r="H589" s="3" t="e">
        <f>Table1[[#This Row],[Fatalities (air)]]/Table1[[#This Row],[Aboard]]</f>
        <v>#DIV/0!</v>
      </c>
      <c r="I589" s="3" t="s">
        <v>294</v>
      </c>
    </row>
    <row r="590" spans="7:9" x14ac:dyDescent="0.25">
      <c r="G590" s="3">
        <f>1</f>
        <v>1</v>
      </c>
      <c r="H590" s="3" t="e">
        <f>Table1[[#This Row],[Fatalities (air)]]/Table1[[#This Row],[Aboard]]</f>
        <v>#DIV/0!</v>
      </c>
      <c r="I590" s="3" t="s">
        <v>294</v>
      </c>
    </row>
    <row r="591" spans="7:9" x14ac:dyDescent="0.25">
      <c r="G591" s="3">
        <f>1</f>
        <v>1</v>
      </c>
      <c r="H591" s="3" t="e">
        <f>Table1[[#This Row],[Fatalities (air)]]/Table1[[#This Row],[Aboard]]</f>
        <v>#DIV/0!</v>
      </c>
      <c r="I591" s="3" t="s">
        <v>294</v>
      </c>
    </row>
    <row r="592" spans="7:9" x14ac:dyDescent="0.25">
      <c r="G592" s="3">
        <f>1</f>
        <v>1</v>
      </c>
      <c r="H592" s="3" t="e">
        <f>Table1[[#This Row],[Fatalities (air)]]/Table1[[#This Row],[Aboard]]</f>
        <v>#DIV/0!</v>
      </c>
      <c r="I592" s="3" t="s">
        <v>294</v>
      </c>
    </row>
    <row r="593" spans="7:9" x14ac:dyDescent="0.25">
      <c r="G593" s="3">
        <f>1</f>
        <v>1</v>
      </c>
      <c r="H593" s="3" t="e">
        <f>Table1[[#This Row],[Fatalities (air)]]/Table1[[#This Row],[Aboard]]</f>
        <v>#DIV/0!</v>
      </c>
      <c r="I593" s="3" t="s">
        <v>294</v>
      </c>
    </row>
    <row r="594" spans="7:9" x14ac:dyDescent="0.25">
      <c r="G594" s="3">
        <f>1</f>
        <v>1</v>
      </c>
      <c r="H594" s="3" t="e">
        <f>Table1[[#This Row],[Fatalities (air)]]/Table1[[#This Row],[Aboard]]</f>
        <v>#DIV/0!</v>
      </c>
      <c r="I594" s="3" t="s">
        <v>294</v>
      </c>
    </row>
    <row r="595" spans="7:9" x14ac:dyDescent="0.25">
      <c r="G595" s="3">
        <f>1</f>
        <v>1</v>
      </c>
      <c r="H595" s="3" t="e">
        <f>Table1[[#This Row],[Fatalities (air)]]/Table1[[#This Row],[Aboard]]</f>
        <v>#DIV/0!</v>
      </c>
      <c r="I595" s="3" t="s">
        <v>294</v>
      </c>
    </row>
    <row r="596" spans="7:9" x14ac:dyDescent="0.25">
      <c r="G596" s="3">
        <f>1</f>
        <v>1</v>
      </c>
      <c r="H596" s="3" t="e">
        <f>Table1[[#This Row],[Fatalities (air)]]/Table1[[#This Row],[Aboard]]</f>
        <v>#DIV/0!</v>
      </c>
      <c r="I596" s="3" t="s">
        <v>294</v>
      </c>
    </row>
    <row r="597" spans="7:9" x14ac:dyDescent="0.25">
      <c r="G597" s="3">
        <f>1</f>
        <v>1</v>
      </c>
      <c r="H597" s="3" t="e">
        <f>Table1[[#This Row],[Fatalities (air)]]/Table1[[#This Row],[Aboard]]</f>
        <v>#DIV/0!</v>
      </c>
      <c r="I597" s="3" t="s">
        <v>294</v>
      </c>
    </row>
    <row r="598" spans="7:9" x14ac:dyDescent="0.25">
      <c r="G598" s="3">
        <f>1</f>
        <v>1</v>
      </c>
      <c r="H598" s="3" t="e">
        <f>Table1[[#This Row],[Fatalities (air)]]/Table1[[#This Row],[Aboard]]</f>
        <v>#DIV/0!</v>
      </c>
      <c r="I598" s="3" t="s">
        <v>294</v>
      </c>
    </row>
    <row r="599" spans="7:9" x14ac:dyDescent="0.25">
      <c r="G599" s="3">
        <f>1</f>
        <v>1</v>
      </c>
      <c r="H599" s="3" t="e">
        <f>Table1[[#This Row],[Fatalities (air)]]/Table1[[#This Row],[Aboard]]</f>
        <v>#DIV/0!</v>
      </c>
      <c r="I599" s="3" t="s">
        <v>297</v>
      </c>
    </row>
    <row r="600" spans="7:9" x14ac:dyDescent="0.25">
      <c r="G600" s="3">
        <f>1</f>
        <v>1</v>
      </c>
      <c r="H600" s="3" t="e">
        <f>Table1[[#This Row],[Fatalities (air)]]/Table1[[#This Row],[Aboard]]</f>
        <v>#DIV/0!</v>
      </c>
      <c r="I600" s="3" t="s">
        <v>297</v>
      </c>
    </row>
    <row r="601" spans="7:9" x14ac:dyDescent="0.25">
      <c r="G601" s="3">
        <f>1</f>
        <v>1</v>
      </c>
      <c r="H601" s="3" t="e">
        <f>Table1[[#This Row],[Fatalities (air)]]/Table1[[#This Row],[Aboard]]</f>
        <v>#DIV/0!</v>
      </c>
      <c r="I601" s="3" t="s">
        <v>297</v>
      </c>
    </row>
    <row r="602" spans="7:9" x14ac:dyDescent="0.25">
      <c r="G602" s="3">
        <f>1</f>
        <v>1</v>
      </c>
      <c r="H602" s="3" t="e">
        <f>Table1[[#This Row],[Fatalities (air)]]/Table1[[#This Row],[Aboard]]</f>
        <v>#DIV/0!</v>
      </c>
      <c r="I602" s="3" t="s">
        <v>297</v>
      </c>
    </row>
    <row r="603" spans="7:9" x14ac:dyDescent="0.25">
      <c r="G603" s="3">
        <f>1</f>
        <v>1</v>
      </c>
      <c r="H603" s="3" t="e">
        <f>Table1[[#This Row],[Fatalities (air)]]/Table1[[#This Row],[Aboard]]</f>
        <v>#DIV/0!</v>
      </c>
      <c r="I603" s="3" t="s">
        <v>295</v>
      </c>
    </row>
    <row r="604" spans="7:9" x14ac:dyDescent="0.25">
      <c r="G604" s="3">
        <f>1</f>
        <v>1</v>
      </c>
      <c r="H604" s="3" t="e">
        <f>Table1[[#This Row],[Fatalities (air)]]/Table1[[#This Row],[Aboard]]</f>
        <v>#DIV/0!</v>
      </c>
      <c r="I604" s="3" t="s">
        <v>295</v>
      </c>
    </row>
    <row r="605" spans="7:9" x14ac:dyDescent="0.25">
      <c r="G605" s="3">
        <f>1</f>
        <v>1</v>
      </c>
      <c r="H605" s="3" t="e">
        <f>Table1[[#This Row],[Fatalities (air)]]/Table1[[#This Row],[Aboard]]</f>
        <v>#DIV/0!</v>
      </c>
      <c r="I605" s="3" t="s">
        <v>295</v>
      </c>
    </row>
    <row r="606" spans="7:9" x14ac:dyDescent="0.25">
      <c r="G606" s="3">
        <f>1</f>
        <v>1</v>
      </c>
      <c r="H606" s="3" t="e">
        <f>Table1[[#This Row],[Fatalities (air)]]/Table1[[#This Row],[Aboard]]</f>
        <v>#DIV/0!</v>
      </c>
      <c r="I606" s="3" t="s">
        <v>295</v>
      </c>
    </row>
    <row r="607" spans="7:9" x14ac:dyDescent="0.25">
      <c r="G607" s="3">
        <f>1</f>
        <v>1</v>
      </c>
      <c r="H607" s="3" t="e">
        <f>Table1[[#This Row],[Fatalities (air)]]/Table1[[#This Row],[Aboard]]</f>
        <v>#DIV/0!</v>
      </c>
      <c r="I607" s="3" t="s">
        <v>297</v>
      </c>
    </row>
    <row r="608" spans="7:9" x14ac:dyDescent="0.25">
      <c r="G608" s="3">
        <f>1</f>
        <v>1</v>
      </c>
      <c r="H608" s="3" t="e">
        <f>Table1[[#This Row],[Fatalities (air)]]/Table1[[#This Row],[Aboard]]</f>
        <v>#DIV/0!</v>
      </c>
      <c r="I608" s="3" t="s">
        <v>297</v>
      </c>
    </row>
    <row r="609" spans="7:9" x14ac:dyDescent="0.25">
      <c r="G609" s="3">
        <f>1</f>
        <v>1</v>
      </c>
      <c r="H609" s="3" t="e">
        <f>Table1[[#This Row],[Fatalities (air)]]/Table1[[#This Row],[Aboard]]</f>
        <v>#DIV/0!</v>
      </c>
      <c r="I609" s="3" t="s">
        <v>297</v>
      </c>
    </row>
    <row r="610" spans="7:9" x14ac:dyDescent="0.25">
      <c r="G610" s="3">
        <f>1</f>
        <v>1</v>
      </c>
      <c r="H610" s="3" t="e">
        <f>Table1[[#This Row],[Fatalities (air)]]/Table1[[#This Row],[Aboard]]</f>
        <v>#DIV/0!</v>
      </c>
      <c r="I610" s="3" t="s">
        <v>294</v>
      </c>
    </row>
    <row r="611" spans="7:9" x14ac:dyDescent="0.25">
      <c r="G611" s="3">
        <f>1</f>
        <v>1</v>
      </c>
      <c r="H611" s="3" t="e">
        <f>Table1[[#This Row],[Fatalities (air)]]/Table1[[#This Row],[Aboard]]</f>
        <v>#DIV/0!</v>
      </c>
      <c r="I611" s="3" t="s">
        <v>295</v>
      </c>
    </row>
    <row r="612" spans="7:9" x14ac:dyDescent="0.25">
      <c r="G612" s="3">
        <f>1</f>
        <v>1</v>
      </c>
      <c r="H612" s="3" t="e">
        <f>Table1[[#This Row],[Fatalities (air)]]/Table1[[#This Row],[Aboard]]</f>
        <v>#DIV/0!</v>
      </c>
      <c r="I612" s="3" t="s">
        <v>295</v>
      </c>
    </row>
    <row r="613" spans="7:9" x14ac:dyDescent="0.25">
      <c r="G613" s="3">
        <f>1</f>
        <v>1</v>
      </c>
      <c r="H613" s="3" t="e">
        <f>Table1[[#This Row],[Fatalities (air)]]/Table1[[#This Row],[Aboard]]</f>
        <v>#DIV/0!</v>
      </c>
      <c r="I613" s="3" t="s">
        <v>295</v>
      </c>
    </row>
    <row r="614" spans="7:9" x14ac:dyDescent="0.25">
      <c r="G614" s="3">
        <f>1</f>
        <v>1</v>
      </c>
      <c r="H614" s="3" t="e">
        <f>Table1[[#This Row],[Fatalities (air)]]/Table1[[#This Row],[Aboard]]</f>
        <v>#DIV/0!</v>
      </c>
      <c r="I614" s="3" t="s">
        <v>295</v>
      </c>
    </row>
    <row r="615" spans="7:9" x14ac:dyDescent="0.25">
      <c r="G615" s="3">
        <f>1</f>
        <v>1</v>
      </c>
      <c r="H615" s="3" t="e">
        <f>Table1[[#This Row],[Fatalities (air)]]/Table1[[#This Row],[Aboard]]</f>
        <v>#DIV/0!</v>
      </c>
      <c r="I615" s="3" t="s">
        <v>295</v>
      </c>
    </row>
    <row r="616" spans="7:9" x14ac:dyDescent="0.25">
      <c r="G616" s="3">
        <f>1</f>
        <v>1</v>
      </c>
      <c r="H616" s="3" t="e">
        <f>Table1[[#This Row],[Fatalities (air)]]/Table1[[#This Row],[Aboard]]</f>
        <v>#DIV/0!</v>
      </c>
      <c r="I616" s="3" t="s">
        <v>295</v>
      </c>
    </row>
    <row r="617" spans="7:9" x14ac:dyDescent="0.25">
      <c r="G617" s="3">
        <f>1</f>
        <v>1</v>
      </c>
      <c r="H617" s="3" t="e">
        <f>Table1[[#This Row],[Fatalities (air)]]/Table1[[#This Row],[Aboard]]</f>
        <v>#DIV/0!</v>
      </c>
      <c r="I617" s="3" t="s">
        <v>295</v>
      </c>
    </row>
    <row r="618" spans="7:9" x14ac:dyDescent="0.25">
      <c r="G618" s="3">
        <f>1</f>
        <v>1</v>
      </c>
      <c r="H618" s="3" t="e">
        <f>Table1[[#This Row],[Fatalities (air)]]/Table1[[#This Row],[Aboard]]</f>
        <v>#DIV/0!</v>
      </c>
      <c r="I618" s="3" t="s">
        <v>295</v>
      </c>
    </row>
    <row r="619" spans="7:9" x14ac:dyDescent="0.25">
      <c r="G619" s="3">
        <f>1</f>
        <v>1</v>
      </c>
      <c r="H619" s="3" t="e">
        <f>Table1[[#This Row],[Fatalities (air)]]/Table1[[#This Row],[Aboard]]</f>
        <v>#DIV/0!</v>
      </c>
      <c r="I619" s="3" t="s">
        <v>295</v>
      </c>
    </row>
    <row r="620" spans="7:9" x14ac:dyDescent="0.25">
      <c r="G620" s="3">
        <f>1</f>
        <v>1</v>
      </c>
      <c r="H620" s="3" t="e">
        <f>Table1[[#This Row],[Fatalities (air)]]/Table1[[#This Row],[Aboard]]</f>
        <v>#DIV/0!</v>
      </c>
      <c r="I620" s="3" t="s">
        <v>295</v>
      </c>
    </row>
    <row r="621" spans="7:9" x14ac:dyDescent="0.25">
      <c r="G621" s="3">
        <f>1</f>
        <v>1</v>
      </c>
      <c r="H621" s="3" t="e">
        <f>Table1[[#This Row],[Fatalities (air)]]/Table1[[#This Row],[Aboard]]</f>
        <v>#DIV/0!</v>
      </c>
      <c r="I621" s="3" t="s">
        <v>295</v>
      </c>
    </row>
    <row r="622" spans="7:9" x14ac:dyDescent="0.25">
      <c r="G622" s="3">
        <f>1</f>
        <v>1</v>
      </c>
      <c r="H622" s="3" t="e">
        <f>Table1[[#This Row],[Fatalities (air)]]/Table1[[#This Row],[Aboard]]</f>
        <v>#DIV/0!</v>
      </c>
      <c r="I622" s="3" t="s">
        <v>295</v>
      </c>
    </row>
    <row r="623" spans="7:9" x14ac:dyDescent="0.25">
      <c r="G623" s="3">
        <f>1</f>
        <v>1</v>
      </c>
      <c r="H623" s="3" t="e">
        <f>Table1[[#This Row],[Fatalities (air)]]/Table1[[#This Row],[Aboard]]</f>
        <v>#DIV/0!</v>
      </c>
      <c r="I623" s="3" t="s">
        <v>295</v>
      </c>
    </row>
    <row r="624" spans="7:9" x14ac:dyDescent="0.25">
      <c r="G624" s="3">
        <f>1</f>
        <v>1</v>
      </c>
      <c r="H624" s="3" t="e">
        <f>Table1[[#This Row],[Fatalities (air)]]/Table1[[#This Row],[Aboard]]</f>
        <v>#DIV/0!</v>
      </c>
      <c r="I624" s="3" t="s">
        <v>295</v>
      </c>
    </row>
    <row r="625" spans="7:9" x14ac:dyDescent="0.25">
      <c r="G625" s="3">
        <f>1</f>
        <v>1</v>
      </c>
      <c r="H625" s="3" t="e">
        <f>Table1[[#This Row],[Fatalities (air)]]/Table1[[#This Row],[Aboard]]</f>
        <v>#DIV/0!</v>
      </c>
      <c r="I625" s="3" t="s">
        <v>295</v>
      </c>
    </row>
    <row r="626" spans="7:9" x14ac:dyDescent="0.25">
      <c r="G626" s="3">
        <f>1</f>
        <v>1</v>
      </c>
      <c r="H626" s="3" t="e">
        <f>Table1[[#This Row],[Fatalities (air)]]/Table1[[#This Row],[Aboard]]</f>
        <v>#DIV/0!</v>
      </c>
      <c r="I626" s="3" t="s">
        <v>296</v>
      </c>
    </row>
    <row r="627" spans="7:9" x14ac:dyDescent="0.25">
      <c r="G627" s="3">
        <f>1</f>
        <v>1</v>
      </c>
      <c r="H627" s="3" t="e">
        <f>Table1[[#This Row],[Fatalities (air)]]/Table1[[#This Row],[Aboard]]</f>
        <v>#DIV/0!</v>
      </c>
      <c r="I627" s="3" t="s">
        <v>296</v>
      </c>
    </row>
    <row r="628" spans="7:9" x14ac:dyDescent="0.25">
      <c r="G628" s="3">
        <f>1</f>
        <v>1</v>
      </c>
      <c r="H628" s="3" t="e">
        <f>Table1[[#This Row],[Fatalities (air)]]/Table1[[#This Row],[Aboard]]</f>
        <v>#DIV/0!</v>
      </c>
      <c r="I628" s="3" t="s">
        <v>296</v>
      </c>
    </row>
    <row r="629" spans="7:9" x14ac:dyDescent="0.25">
      <c r="G629" s="3">
        <f>1</f>
        <v>1</v>
      </c>
      <c r="H629" s="3" t="e">
        <f>Table1[[#This Row],[Fatalities (air)]]/Table1[[#This Row],[Aboard]]</f>
        <v>#DIV/0!</v>
      </c>
      <c r="I629" s="3" t="s">
        <v>296</v>
      </c>
    </row>
    <row r="630" spans="7:9" x14ac:dyDescent="0.25">
      <c r="G630" s="3">
        <f>1</f>
        <v>1</v>
      </c>
      <c r="H630" s="3" t="e">
        <f>Table1[[#This Row],[Fatalities (air)]]/Table1[[#This Row],[Aboard]]</f>
        <v>#DIV/0!</v>
      </c>
      <c r="I630" s="3" t="s">
        <v>296</v>
      </c>
    </row>
    <row r="631" spans="7:9" x14ac:dyDescent="0.25">
      <c r="G631" s="3">
        <f>1</f>
        <v>1</v>
      </c>
      <c r="H631" s="3" t="e">
        <f>Table1[[#This Row],[Fatalities (air)]]/Table1[[#This Row],[Aboard]]</f>
        <v>#DIV/0!</v>
      </c>
      <c r="I631" s="3" t="s">
        <v>296</v>
      </c>
    </row>
    <row r="632" spans="7:9" x14ac:dyDescent="0.25">
      <c r="G632" s="3">
        <f>1</f>
        <v>1</v>
      </c>
      <c r="H632" s="3" t="e">
        <f>Table1[[#This Row],[Fatalities (air)]]/Table1[[#This Row],[Aboard]]</f>
        <v>#DIV/0!</v>
      </c>
      <c r="I632" s="3" t="s">
        <v>296</v>
      </c>
    </row>
    <row r="633" spans="7:9" x14ac:dyDescent="0.25">
      <c r="G633" s="3">
        <f>1</f>
        <v>1</v>
      </c>
      <c r="H633" s="3" t="e">
        <f>Table1[[#This Row],[Fatalities (air)]]/Table1[[#This Row],[Aboard]]</f>
        <v>#DIV/0!</v>
      </c>
      <c r="I633" s="3" t="s">
        <v>296</v>
      </c>
    </row>
    <row r="634" spans="7:9" x14ac:dyDescent="0.25">
      <c r="G634" s="3">
        <f>1</f>
        <v>1</v>
      </c>
      <c r="H634" s="3" t="e">
        <f>Table1[[#This Row],[Fatalities (air)]]/Table1[[#This Row],[Aboard]]</f>
        <v>#DIV/0!</v>
      </c>
      <c r="I634" s="3" t="s">
        <v>296</v>
      </c>
    </row>
    <row r="635" spans="7:9" x14ac:dyDescent="0.25">
      <c r="G635" s="3">
        <f>1</f>
        <v>1</v>
      </c>
      <c r="H635" s="3" t="e">
        <f>Table1[[#This Row],[Fatalities (air)]]/Table1[[#This Row],[Aboard]]</f>
        <v>#DIV/0!</v>
      </c>
      <c r="I635" s="3" t="s">
        <v>295</v>
      </c>
    </row>
    <row r="636" spans="7:9" x14ac:dyDescent="0.25">
      <c r="G636" s="3">
        <f>1</f>
        <v>1</v>
      </c>
      <c r="H636" s="3" t="e">
        <f>Table1[[#This Row],[Fatalities (air)]]/Table1[[#This Row],[Aboard]]</f>
        <v>#DIV/0!</v>
      </c>
      <c r="I636" s="3" t="s">
        <v>295</v>
      </c>
    </row>
    <row r="637" spans="7:9" x14ac:dyDescent="0.25">
      <c r="G637" s="3">
        <f>1</f>
        <v>1</v>
      </c>
      <c r="H637" s="3" t="e">
        <f>Table1[[#This Row],[Fatalities (air)]]/Table1[[#This Row],[Aboard]]</f>
        <v>#DIV/0!</v>
      </c>
      <c r="I637" s="3" t="s">
        <v>295</v>
      </c>
    </row>
    <row r="638" spans="7:9" x14ac:dyDescent="0.25">
      <c r="G638" s="3">
        <f>1</f>
        <v>1</v>
      </c>
      <c r="H638" s="3" t="e">
        <f>Table1[[#This Row],[Fatalities (air)]]/Table1[[#This Row],[Aboard]]</f>
        <v>#DIV/0!</v>
      </c>
      <c r="I638" s="3" t="s">
        <v>295</v>
      </c>
    </row>
    <row r="639" spans="7:9" x14ac:dyDescent="0.25">
      <c r="G639" s="3">
        <f>1</f>
        <v>1</v>
      </c>
      <c r="H639" s="3" t="e">
        <f>Table1[[#This Row],[Fatalities (air)]]/Table1[[#This Row],[Aboard]]</f>
        <v>#DIV/0!</v>
      </c>
      <c r="I639" s="3" t="s">
        <v>295</v>
      </c>
    </row>
    <row r="640" spans="7:9" x14ac:dyDescent="0.25">
      <c r="G640" s="3">
        <f>1</f>
        <v>1</v>
      </c>
      <c r="H640" s="3" t="e">
        <f>Table1[[#This Row],[Fatalities (air)]]/Table1[[#This Row],[Aboard]]</f>
        <v>#DIV/0!</v>
      </c>
      <c r="I640" s="3" t="s">
        <v>295</v>
      </c>
    </row>
    <row r="641" spans="7:9" x14ac:dyDescent="0.25">
      <c r="G641" s="3">
        <f>1</f>
        <v>1</v>
      </c>
      <c r="H641" s="3" t="e">
        <f>Table1[[#This Row],[Fatalities (air)]]/Table1[[#This Row],[Aboard]]</f>
        <v>#DIV/0!</v>
      </c>
      <c r="I641" s="3" t="s">
        <v>295</v>
      </c>
    </row>
    <row r="642" spans="7:9" x14ac:dyDescent="0.25">
      <c r="G642" s="3">
        <f>1</f>
        <v>1</v>
      </c>
      <c r="H642" s="3" t="e">
        <f>Table1[[#This Row],[Fatalities (air)]]/Table1[[#This Row],[Aboard]]</f>
        <v>#DIV/0!</v>
      </c>
      <c r="I642" s="3" t="s">
        <v>295</v>
      </c>
    </row>
    <row r="643" spans="7:9" x14ac:dyDescent="0.25">
      <c r="G643" s="3">
        <f>1</f>
        <v>1</v>
      </c>
      <c r="H643" s="3" t="e">
        <f>Table1[[#This Row],[Fatalities (air)]]/Table1[[#This Row],[Aboard]]</f>
        <v>#DIV/0!</v>
      </c>
      <c r="I643" s="3" t="s">
        <v>295</v>
      </c>
    </row>
    <row r="644" spans="7:9" x14ac:dyDescent="0.25">
      <c r="G644" s="3">
        <f>1</f>
        <v>1</v>
      </c>
      <c r="H644" s="3" t="e">
        <f>Table1[[#This Row],[Fatalities (air)]]/Table1[[#This Row],[Aboard]]</f>
        <v>#DIV/0!</v>
      </c>
      <c r="I644" s="3" t="s">
        <v>295</v>
      </c>
    </row>
    <row r="645" spans="7:9" x14ac:dyDescent="0.25">
      <c r="G645" s="3">
        <f>1</f>
        <v>1</v>
      </c>
      <c r="H645" s="3" t="e">
        <f>Table1[[#This Row],[Fatalities (air)]]/Table1[[#This Row],[Aboard]]</f>
        <v>#DIV/0!</v>
      </c>
      <c r="I645" s="3" t="s">
        <v>295</v>
      </c>
    </row>
    <row r="646" spans="7:9" x14ac:dyDescent="0.25">
      <c r="G646" s="3">
        <f>1</f>
        <v>1</v>
      </c>
      <c r="H646" s="3" t="e">
        <f>Table1[[#This Row],[Fatalities (air)]]/Table1[[#This Row],[Aboard]]</f>
        <v>#DIV/0!</v>
      </c>
      <c r="I646" s="3" t="s">
        <v>295</v>
      </c>
    </row>
    <row r="647" spans="7:9" x14ac:dyDescent="0.25">
      <c r="G647" s="3">
        <f>1</f>
        <v>1</v>
      </c>
      <c r="H647" s="3" t="e">
        <f>Table1[[#This Row],[Fatalities (air)]]/Table1[[#This Row],[Aboard]]</f>
        <v>#DIV/0!</v>
      </c>
      <c r="I647" s="3" t="s">
        <v>295</v>
      </c>
    </row>
    <row r="648" spans="7:9" x14ac:dyDescent="0.25">
      <c r="G648" s="3">
        <f>1</f>
        <v>1</v>
      </c>
      <c r="H648" s="3" t="e">
        <f>Table1[[#This Row],[Fatalities (air)]]/Table1[[#This Row],[Aboard]]</f>
        <v>#DIV/0!</v>
      </c>
      <c r="I648" s="3" t="s">
        <v>295</v>
      </c>
    </row>
    <row r="649" spans="7:9" x14ac:dyDescent="0.25">
      <c r="G649" s="3">
        <f>1</f>
        <v>1</v>
      </c>
      <c r="H649" s="3" t="e">
        <f>Table1[[#This Row],[Fatalities (air)]]/Table1[[#This Row],[Aboard]]</f>
        <v>#DIV/0!</v>
      </c>
      <c r="I649" s="3" t="s">
        <v>297</v>
      </c>
    </row>
    <row r="650" spans="7:9" x14ac:dyDescent="0.25">
      <c r="G650" s="3">
        <f>1</f>
        <v>1</v>
      </c>
      <c r="H650" s="3" t="e">
        <f>Table1[[#This Row],[Fatalities (air)]]/Table1[[#This Row],[Aboard]]</f>
        <v>#DIV/0!</v>
      </c>
      <c r="I650" s="3" t="s">
        <v>294</v>
      </c>
    </row>
    <row r="651" spans="7:9" x14ac:dyDescent="0.25">
      <c r="G651" s="3">
        <f>1</f>
        <v>1</v>
      </c>
      <c r="H651" s="3" t="e">
        <f>Table1[[#This Row],[Fatalities (air)]]/Table1[[#This Row],[Aboard]]</f>
        <v>#DIV/0!</v>
      </c>
      <c r="I651" s="3" t="s">
        <v>294</v>
      </c>
    </row>
    <row r="652" spans="7:9" x14ac:dyDescent="0.25">
      <c r="G652" s="3">
        <f>1</f>
        <v>1</v>
      </c>
      <c r="H652" s="3" t="e">
        <f>Table1[[#This Row],[Fatalities (air)]]/Table1[[#This Row],[Aboard]]</f>
        <v>#DIV/0!</v>
      </c>
      <c r="I652" s="3" t="s">
        <v>294</v>
      </c>
    </row>
    <row r="653" spans="7:9" x14ac:dyDescent="0.25">
      <c r="G653" s="3">
        <f>1</f>
        <v>1</v>
      </c>
      <c r="H653" s="3" t="e">
        <f>Table1[[#This Row],[Fatalities (air)]]/Table1[[#This Row],[Aboard]]</f>
        <v>#DIV/0!</v>
      </c>
      <c r="I653" s="3" t="s">
        <v>294</v>
      </c>
    </row>
    <row r="654" spans="7:9" x14ac:dyDescent="0.25">
      <c r="G654" s="3">
        <f>1</f>
        <v>1</v>
      </c>
      <c r="H654" s="3" t="e">
        <f>Table1[[#This Row],[Fatalities (air)]]/Table1[[#This Row],[Aboard]]</f>
        <v>#DIV/0!</v>
      </c>
      <c r="I654" s="3" t="s">
        <v>294</v>
      </c>
    </row>
    <row r="655" spans="7:9" x14ac:dyDescent="0.25">
      <c r="G655" s="3">
        <f>1</f>
        <v>1</v>
      </c>
      <c r="H655" s="3" t="e">
        <f>Table1[[#This Row],[Fatalities (air)]]/Table1[[#This Row],[Aboard]]</f>
        <v>#DIV/0!</v>
      </c>
      <c r="I655" s="3" t="s">
        <v>294</v>
      </c>
    </row>
    <row r="656" spans="7:9" x14ac:dyDescent="0.25">
      <c r="G656" s="3">
        <f>1</f>
        <v>1</v>
      </c>
      <c r="H656" s="3" t="e">
        <f>Table1[[#This Row],[Fatalities (air)]]/Table1[[#This Row],[Aboard]]</f>
        <v>#DIV/0!</v>
      </c>
      <c r="I656" s="3" t="s">
        <v>294</v>
      </c>
    </row>
    <row r="657" spans="7:9" x14ac:dyDescent="0.25">
      <c r="G657" s="3">
        <f>1</f>
        <v>1</v>
      </c>
      <c r="H657" s="3" t="e">
        <f>Table1[[#This Row],[Fatalities (air)]]/Table1[[#This Row],[Aboard]]</f>
        <v>#DIV/0!</v>
      </c>
      <c r="I657" s="3" t="s">
        <v>294</v>
      </c>
    </row>
    <row r="658" spans="7:9" x14ac:dyDescent="0.25">
      <c r="G658" s="3">
        <f>1</f>
        <v>1</v>
      </c>
      <c r="H658" s="3" t="e">
        <f>Table1[[#This Row],[Fatalities (air)]]/Table1[[#This Row],[Aboard]]</f>
        <v>#DIV/0!</v>
      </c>
      <c r="I658" s="3" t="s">
        <v>294</v>
      </c>
    </row>
    <row r="659" spans="7:9" x14ac:dyDescent="0.25">
      <c r="G659" s="3">
        <f>1</f>
        <v>1</v>
      </c>
      <c r="H659" s="3" t="e">
        <f>Table1[[#This Row],[Fatalities (air)]]/Table1[[#This Row],[Aboard]]</f>
        <v>#DIV/0!</v>
      </c>
      <c r="I659" s="3" t="s">
        <v>294</v>
      </c>
    </row>
    <row r="660" spans="7:9" x14ac:dyDescent="0.25">
      <c r="G660" s="3">
        <f>1</f>
        <v>1</v>
      </c>
      <c r="H660" s="3" t="e">
        <f>Table1[[#This Row],[Fatalities (air)]]/Table1[[#This Row],[Aboard]]</f>
        <v>#DIV/0!</v>
      </c>
      <c r="I660" s="3" t="s">
        <v>294</v>
      </c>
    </row>
    <row r="661" spans="7:9" x14ac:dyDescent="0.25">
      <c r="G661" s="3">
        <f>1</f>
        <v>1</v>
      </c>
      <c r="H661" s="3" t="e">
        <f>Table1[[#This Row],[Fatalities (air)]]/Table1[[#This Row],[Aboard]]</f>
        <v>#DIV/0!</v>
      </c>
      <c r="I661" s="3" t="s">
        <v>294</v>
      </c>
    </row>
    <row r="662" spans="7:9" x14ac:dyDescent="0.25">
      <c r="G662" s="3">
        <f>1</f>
        <v>1</v>
      </c>
      <c r="H662" s="3" t="e">
        <f>Table1[[#This Row],[Fatalities (air)]]/Table1[[#This Row],[Aboard]]</f>
        <v>#DIV/0!</v>
      </c>
      <c r="I662" s="3" t="s">
        <v>294</v>
      </c>
    </row>
    <row r="663" spans="7:9" x14ac:dyDescent="0.25">
      <c r="G663" s="3">
        <f>1</f>
        <v>1</v>
      </c>
      <c r="H663" s="3" t="e">
        <f>Table1[[#This Row],[Fatalities (air)]]/Table1[[#This Row],[Aboard]]</f>
        <v>#DIV/0!</v>
      </c>
      <c r="I663" s="3" t="s">
        <v>294</v>
      </c>
    </row>
    <row r="664" spans="7:9" x14ac:dyDescent="0.25">
      <c r="G664" s="3">
        <f>1</f>
        <v>1</v>
      </c>
      <c r="H664" s="3" t="e">
        <f>Table1[[#This Row],[Fatalities (air)]]/Table1[[#This Row],[Aboard]]</f>
        <v>#DIV/0!</v>
      </c>
      <c r="I664" s="3" t="s">
        <v>294</v>
      </c>
    </row>
    <row r="665" spans="7:9" x14ac:dyDescent="0.25">
      <c r="G665" s="3">
        <f>1</f>
        <v>1</v>
      </c>
      <c r="H665" s="3" t="e">
        <f>Table1[[#This Row],[Fatalities (air)]]/Table1[[#This Row],[Aboard]]</f>
        <v>#DIV/0!</v>
      </c>
      <c r="I665" s="3" t="s">
        <v>297</v>
      </c>
    </row>
    <row r="666" spans="7:9" x14ac:dyDescent="0.25">
      <c r="G666" s="3">
        <f>1</f>
        <v>1</v>
      </c>
      <c r="H666" s="3" t="e">
        <f>Table1[[#This Row],[Fatalities (air)]]/Table1[[#This Row],[Aboard]]</f>
        <v>#DIV/0!</v>
      </c>
      <c r="I666" s="3" t="s">
        <v>297</v>
      </c>
    </row>
    <row r="667" spans="7:9" x14ac:dyDescent="0.25">
      <c r="G667" s="3">
        <f>1</f>
        <v>1</v>
      </c>
      <c r="H667" s="3" t="e">
        <f>Table1[[#This Row],[Fatalities (air)]]/Table1[[#This Row],[Aboard]]</f>
        <v>#DIV/0!</v>
      </c>
      <c r="I667" s="3" t="s">
        <v>297</v>
      </c>
    </row>
    <row r="668" spans="7:9" x14ac:dyDescent="0.25">
      <c r="G668" s="3">
        <f>1</f>
        <v>1</v>
      </c>
      <c r="H668" s="3" t="e">
        <f>Table1[[#This Row],[Fatalities (air)]]/Table1[[#This Row],[Aboard]]</f>
        <v>#DIV/0!</v>
      </c>
      <c r="I668" s="3" t="s">
        <v>295</v>
      </c>
    </row>
    <row r="669" spans="7:9" x14ac:dyDescent="0.25">
      <c r="G669" s="3">
        <f>1</f>
        <v>1</v>
      </c>
      <c r="H669" s="3" t="e">
        <f>Table1[[#This Row],[Fatalities (air)]]/Table1[[#This Row],[Aboard]]</f>
        <v>#DIV/0!</v>
      </c>
      <c r="I669" s="3" t="s">
        <v>295</v>
      </c>
    </row>
    <row r="670" spans="7:9" x14ac:dyDescent="0.25">
      <c r="G670" s="3">
        <f>1</f>
        <v>1</v>
      </c>
      <c r="H670" s="3" t="e">
        <f>Table1[[#This Row],[Fatalities (air)]]/Table1[[#This Row],[Aboard]]</f>
        <v>#DIV/0!</v>
      </c>
      <c r="I670" s="3" t="s">
        <v>297</v>
      </c>
    </row>
    <row r="671" spans="7:9" x14ac:dyDescent="0.25">
      <c r="G671" s="3">
        <f>1</f>
        <v>1</v>
      </c>
      <c r="H671" s="3" t="e">
        <f>Table1[[#This Row],[Fatalities (air)]]/Table1[[#This Row],[Aboard]]</f>
        <v>#DIV/0!</v>
      </c>
      <c r="I671" s="3" t="s">
        <v>297</v>
      </c>
    </row>
    <row r="672" spans="7:9" x14ac:dyDescent="0.25">
      <c r="G672" s="3">
        <f>1</f>
        <v>1</v>
      </c>
      <c r="H672" s="3" t="e">
        <f>Table1[[#This Row],[Fatalities (air)]]/Table1[[#This Row],[Aboard]]</f>
        <v>#DIV/0!</v>
      </c>
      <c r="I672" s="3" t="s">
        <v>297</v>
      </c>
    </row>
    <row r="673" spans="7:9" x14ac:dyDescent="0.25">
      <c r="G673" s="3">
        <f>1</f>
        <v>1</v>
      </c>
      <c r="H673" s="3" t="e">
        <f>Table1[[#This Row],[Fatalities (air)]]/Table1[[#This Row],[Aboard]]</f>
        <v>#DIV/0!</v>
      </c>
      <c r="I673" s="3" t="s">
        <v>297</v>
      </c>
    </row>
    <row r="674" spans="7:9" x14ac:dyDescent="0.25">
      <c r="G674" s="3">
        <f>1</f>
        <v>1</v>
      </c>
      <c r="H674" s="3" t="e">
        <f>Table1[[#This Row],[Fatalities (air)]]/Table1[[#This Row],[Aboard]]</f>
        <v>#DIV/0!</v>
      </c>
      <c r="I674" s="3" t="s">
        <v>297</v>
      </c>
    </row>
    <row r="675" spans="7:9" x14ac:dyDescent="0.25">
      <c r="G675" s="3">
        <f>1</f>
        <v>1</v>
      </c>
      <c r="H675" s="3" t="e">
        <f>Table1[[#This Row],[Fatalities (air)]]/Table1[[#This Row],[Aboard]]</f>
        <v>#DIV/0!</v>
      </c>
      <c r="I675" s="3" t="s">
        <v>294</v>
      </c>
    </row>
    <row r="676" spans="7:9" x14ac:dyDescent="0.25">
      <c r="G676" s="3">
        <f>1</f>
        <v>1</v>
      </c>
      <c r="H676" s="3" t="e">
        <f>Table1[[#This Row],[Fatalities (air)]]/Table1[[#This Row],[Aboard]]</f>
        <v>#DIV/0!</v>
      </c>
      <c r="I676" s="3" t="s">
        <v>294</v>
      </c>
    </row>
    <row r="677" spans="7:9" x14ac:dyDescent="0.25">
      <c r="G677" s="3">
        <f>1</f>
        <v>1</v>
      </c>
      <c r="H677" s="3" t="e">
        <f>Table1[[#This Row],[Fatalities (air)]]/Table1[[#This Row],[Aboard]]</f>
        <v>#DIV/0!</v>
      </c>
      <c r="I677" s="3" t="s">
        <v>294</v>
      </c>
    </row>
    <row r="678" spans="7:9" x14ac:dyDescent="0.25">
      <c r="G678" s="3">
        <f>1</f>
        <v>1</v>
      </c>
      <c r="H678" s="3" t="e">
        <f>Table1[[#This Row],[Fatalities (air)]]/Table1[[#This Row],[Aboard]]</f>
        <v>#DIV/0!</v>
      </c>
      <c r="I678" s="3" t="s">
        <v>295</v>
      </c>
    </row>
    <row r="679" spans="7:9" x14ac:dyDescent="0.25">
      <c r="G679" s="3">
        <f>1</f>
        <v>1</v>
      </c>
      <c r="H679" s="3" t="e">
        <f>Table1[[#This Row],[Fatalities (air)]]/Table1[[#This Row],[Aboard]]</f>
        <v>#DIV/0!</v>
      </c>
      <c r="I679" s="3" t="s">
        <v>295</v>
      </c>
    </row>
    <row r="680" spans="7:9" x14ac:dyDescent="0.25">
      <c r="G680" s="3">
        <f>1</f>
        <v>1</v>
      </c>
      <c r="H680" s="3" t="e">
        <f>Table1[[#This Row],[Fatalities (air)]]/Table1[[#This Row],[Aboard]]</f>
        <v>#DIV/0!</v>
      </c>
      <c r="I680" s="3" t="s">
        <v>295</v>
      </c>
    </row>
    <row r="681" spans="7:9" x14ac:dyDescent="0.25">
      <c r="G681" s="3">
        <f>1</f>
        <v>1</v>
      </c>
      <c r="H681" s="3" t="e">
        <f>Table1[[#This Row],[Fatalities (air)]]/Table1[[#This Row],[Aboard]]</f>
        <v>#DIV/0!</v>
      </c>
      <c r="I681" s="3" t="s">
        <v>295</v>
      </c>
    </row>
    <row r="682" spans="7:9" x14ac:dyDescent="0.25">
      <c r="G682" s="3">
        <f>1</f>
        <v>1</v>
      </c>
      <c r="H682" s="3" t="e">
        <f>Table1[[#This Row],[Fatalities (air)]]/Table1[[#This Row],[Aboard]]</f>
        <v>#DIV/0!</v>
      </c>
      <c r="I682" s="3" t="s">
        <v>295</v>
      </c>
    </row>
    <row r="683" spans="7:9" x14ac:dyDescent="0.25">
      <c r="G683" s="3">
        <f>1</f>
        <v>1</v>
      </c>
      <c r="H683" s="3" t="e">
        <f>Table1[[#This Row],[Fatalities (air)]]/Table1[[#This Row],[Aboard]]</f>
        <v>#DIV/0!</v>
      </c>
      <c r="I683" s="3" t="s">
        <v>295</v>
      </c>
    </row>
    <row r="684" spans="7:9" x14ac:dyDescent="0.25">
      <c r="G684" s="3">
        <f>1</f>
        <v>1</v>
      </c>
      <c r="H684" s="3" t="e">
        <f>Table1[[#This Row],[Fatalities (air)]]/Table1[[#This Row],[Aboard]]</f>
        <v>#DIV/0!</v>
      </c>
      <c r="I684" s="3" t="s">
        <v>295</v>
      </c>
    </row>
    <row r="685" spans="7:9" x14ac:dyDescent="0.25">
      <c r="G685" s="3">
        <f>1</f>
        <v>1</v>
      </c>
      <c r="H685" s="3" t="e">
        <f>Table1[[#This Row],[Fatalities (air)]]/Table1[[#This Row],[Aboard]]</f>
        <v>#DIV/0!</v>
      </c>
      <c r="I685" s="3" t="s">
        <v>295</v>
      </c>
    </row>
    <row r="686" spans="7:9" x14ac:dyDescent="0.25">
      <c r="G686" s="3">
        <f>1</f>
        <v>1</v>
      </c>
      <c r="H686" s="3" t="e">
        <f>Table1[[#This Row],[Fatalities (air)]]/Table1[[#This Row],[Aboard]]</f>
        <v>#DIV/0!</v>
      </c>
      <c r="I686" s="3" t="s">
        <v>295</v>
      </c>
    </row>
    <row r="687" spans="7:9" x14ac:dyDescent="0.25">
      <c r="G687" s="3">
        <f>1</f>
        <v>1</v>
      </c>
      <c r="H687" s="3" t="e">
        <f>Table1[[#This Row],[Fatalities (air)]]/Table1[[#This Row],[Aboard]]</f>
        <v>#DIV/0!</v>
      </c>
      <c r="I687" s="3" t="s">
        <v>295</v>
      </c>
    </row>
    <row r="688" spans="7:9" x14ac:dyDescent="0.25">
      <c r="G688" s="3">
        <f>1</f>
        <v>1</v>
      </c>
      <c r="H688" s="3" t="e">
        <f>Table1[[#This Row],[Fatalities (air)]]/Table1[[#This Row],[Aboard]]</f>
        <v>#DIV/0!</v>
      </c>
      <c r="I688" s="3" t="s">
        <v>295</v>
      </c>
    </row>
    <row r="689" spans="7:9" x14ac:dyDescent="0.25">
      <c r="G689" s="3">
        <f>1</f>
        <v>1</v>
      </c>
      <c r="H689" s="3" t="e">
        <f>Table1[[#This Row],[Fatalities (air)]]/Table1[[#This Row],[Aboard]]</f>
        <v>#DIV/0!</v>
      </c>
      <c r="I689" s="3" t="s">
        <v>296</v>
      </c>
    </row>
    <row r="690" spans="7:9" x14ac:dyDescent="0.25">
      <c r="G690" s="3">
        <f>1</f>
        <v>1</v>
      </c>
      <c r="H690" s="3" t="e">
        <f>Table1[[#This Row],[Fatalities (air)]]/Table1[[#This Row],[Aboard]]</f>
        <v>#DIV/0!</v>
      </c>
      <c r="I690" s="3" t="s">
        <v>296</v>
      </c>
    </row>
    <row r="691" spans="7:9" x14ac:dyDescent="0.25">
      <c r="G691" s="3">
        <f>1</f>
        <v>1</v>
      </c>
      <c r="H691" s="3" t="e">
        <f>Table1[[#This Row],[Fatalities (air)]]/Table1[[#This Row],[Aboard]]</f>
        <v>#DIV/0!</v>
      </c>
      <c r="I691" s="3" t="s">
        <v>296</v>
      </c>
    </row>
    <row r="692" spans="7:9" x14ac:dyDescent="0.25">
      <c r="G692" s="3">
        <f>1</f>
        <v>1</v>
      </c>
      <c r="H692" s="3" t="e">
        <f>Table1[[#This Row],[Fatalities (air)]]/Table1[[#This Row],[Aboard]]</f>
        <v>#DIV/0!</v>
      </c>
      <c r="I692" s="3" t="s">
        <v>296</v>
      </c>
    </row>
    <row r="693" spans="7:9" x14ac:dyDescent="0.25">
      <c r="G693" s="3">
        <f>1</f>
        <v>1</v>
      </c>
      <c r="H693" s="3" t="e">
        <f>Table1[[#This Row],[Fatalities (air)]]/Table1[[#This Row],[Aboard]]</f>
        <v>#DIV/0!</v>
      </c>
      <c r="I693" s="3" t="s">
        <v>296</v>
      </c>
    </row>
    <row r="694" spans="7:9" x14ac:dyDescent="0.25">
      <c r="G694" s="3">
        <f>1</f>
        <v>1</v>
      </c>
      <c r="H694" s="3" t="e">
        <f>Table1[[#This Row],[Fatalities (air)]]/Table1[[#This Row],[Aboard]]</f>
        <v>#DIV/0!</v>
      </c>
      <c r="I694" s="3" t="s">
        <v>296</v>
      </c>
    </row>
    <row r="695" spans="7:9" x14ac:dyDescent="0.25">
      <c r="G695" s="3">
        <f>1</f>
        <v>1</v>
      </c>
      <c r="H695" s="3" t="e">
        <f>Table1[[#This Row],[Fatalities (air)]]/Table1[[#This Row],[Aboard]]</f>
        <v>#DIV/0!</v>
      </c>
      <c r="I695" s="3" t="s">
        <v>296</v>
      </c>
    </row>
    <row r="696" spans="7:9" x14ac:dyDescent="0.25">
      <c r="G696" s="3">
        <f>1</f>
        <v>1</v>
      </c>
      <c r="H696" s="3" t="e">
        <f>Table1[[#This Row],[Fatalities (air)]]/Table1[[#This Row],[Aboard]]</f>
        <v>#DIV/0!</v>
      </c>
      <c r="I696" s="3" t="s">
        <v>296</v>
      </c>
    </row>
    <row r="697" spans="7:9" x14ac:dyDescent="0.25">
      <c r="G697" s="3">
        <f>1</f>
        <v>1</v>
      </c>
      <c r="H697" s="3" t="e">
        <f>Table1[[#This Row],[Fatalities (air)]]/Table1[[#This Row],[Aboard]]</f>
        <v>#DIV/0!</v>
      </c>
      <c r="I697" s="3" t="s">
        <v>296</v>
      </c>
    </row>
    <row r="698" spans="7:9" x14ac:dyDescent="0.25">
      <c r="G698" s="3">
        <f>1</f>
        <v>1</v>
      </c>
      <c r="H698" s="3" t="e">
        <f>Table1[[#This Row],[Fatalities (air)]]/Table1[[#This Row],[Aboard]]</f>
        <v>#DIV/0!</v>
      </c>
      <c r="I698" s="3" t="s">
        <v>296</v>
      </c>
    </row>
    <row r="699" spans="7:9" x14ac:dyDescent="0.25">
      <c r="G699" s="3">
        <f>1</f>
        <v>1</v>
      </c>
      <c r="H699" s="3" t="e">
        <f>Table1[[#This Row],[Fatalities (air)]]/Table1[[#This Row],[Aboard]]</f>
        <v>#DIV/0!</v>
      </c>
      <c r="I699" s="3" t="s">
        <v>295</v>
      </c>
    </row>
    <row r="700" spans="7:9" x14ac:dyDescent="0.25">
      <c r="G700" s="3">
        <f>1</f>
        <v>1</v>
      </c>
      <c r="H700" s="3" t="e">
        <f>Table1[[#This Row],[Fatalities (air)]]/Table1[[#This Row],[Aboard]]</f>
        <v>#DIV/0!</v>
      </c>
      <c r="I700" s="3" t="s">
        <v>295</v>
      </c>
    </row>
    <row r="701" spans="7:9" x14ac:dyDescent="0.25">
      <c r="G701" s="3">
        <f>1</f>
        <v>1</v>
      </c>
      <c r="H701" s="3" t="e">
        <f>Table1[[#This Row],[Fatalities (air)]]/Table1[[#This Row],[Aboard]]</f>
        <v>#DIV/0!</v>
      </c>
      <c r="I701" s="3" t="s">
        <v>295</v>
      </c>
    </row>
    <row r="702" spans="7:9" x14ac:dyDescent="0.25">
      <c r="G702" s="3">
        <f>1</f>
        <v>1</v>
      </c>
      <c r="H702" s="3" t="e">
        <f>Table1[[#This Row],[Fatalities (air)]]/Table1[[#This Row],[Aboard]]</f>
        <v>#DIV/0!</v>
      </c>
      <c r="I702" s="3" t="s">
        <v>295</v>
      </c>
    </row>
    <row r="703" spans="7:9" x14ac:dyDescent="0.25">
      <c r="G703" s="3">
        <f>1</f>
        <v>1</v>
      </c>
      <c r="H703" s="3" t="e">
        <f>Table1[[#This Row],[Fatalities (air)]]/Table1[[#This Row],[Aboard]]</f>
        <v>#DIV/0!</v>
      </c>
      <c r="I703" s="3" t="s">
        <v>295</v>
      </c>
    </row>
    <row r="704" spans="7:9" x14ac:dyDescent="0.25">
      <c r="G704" s="3">
        <f>1</f>
        <v>1</v>
      </c>
      <c r="H704" s="3" t="e">
        <f>Table1[[#This Row],[Fatalities (air)]]/Table1[[#This Row],[Aboard]]</f>
        <v>#DIV/0!</v>
      </c>
      <c r="I704" s="3" t="s">
        <v>295</v>
      </c>
    </row>
    <row r="705" spans="7:9" x14ac:dyDescent="0.25">
      <c r="G705" s="3">
        <f>1</f>
        <v>1</v>
      </c>
      <c r="H705" s="3" t="e">
        <f>Table1[[#This Row],[Fatalities (air)]]/Table1[[#This Row],[Aboard]]</f>
        <v>#DIV/0!</v>
      </c>
      <c r="I705" s="3" t="s">
        <v>295</v>
      </c>
    </row>
    <row r="706" spans="7:9" x14ac:dyDescent="0.25">
      <c r="G706" s="3">
        <f>1</f>
        <v>1</v>
      </c>
      <c r="H706" s="3" t="e">
        <f>Table1[[#This Row],[Fatalities (air)]]/Table1[[#This Row],[Aboard]]</f>
        <v>#DIV/0!</v>
      </c>
      <c r="I706" s="3" t="s">
        <v>295</v>
      </c>
    </row>
    <row r="707" spans="7:9" x14ac:dyDescent="0.25">
      <c r="G707" s="3">
        <f>1</f>
        <v>1</v>
      </c>
      <c r="H707" s="3" t="e">
        <f>Table1[[#This Row],[Fatalities (air)]]/Table1[[#This Row],[Aboard]]</f>
        <v>#DIV/0!</v>
      </c>
      <c r="I707" s="3" t="s">
        <v>297</v>
      </c>
    </row>
    <row r="708" spans="7:9" x14ac:dyDescent="0.25">
      <c r="G708" s="3">
        <f>1</f>
        <v>1</v>
      </c>
      <c r="H708" s="3" t="e">
        <f>Table1[[#This Row],[Fatalities (air)]]/Table1[[#This Row],[Aboard]]</f>
        <v>#DIV/0!</v>
      </c>
      <c r="I708" s="3" t="s">
        <v>294</v>
      </c>
    </row>
    <row r="709" spans="7:9" x14ac:dyDescent="0.25">
      <c r="G709" s="3">
        <f>1</f>
        <v>1</v>
      </c>
      <c r="H709" s="3" t="e">
        <f>Table1[[#This Row],[Fatalities (air)]]/Table1[[#This Row],[Aboard]]</f>
        <v>#DIV/0!</v>
      </c>
      <c r="I709" s="3" t="s">
        <v>294</v>
      </c>
    </row>
    <row r="710" spans="7:9" x14ac:dyDescent="0.25">
      <c r="G710" s="3">
        <f>1</f>
        <v>1</v>
      </c>
      <c r="H710" s="3" t="e">
        <f>Table1[[#This Row],[Fatalities (air)]]/Table1[[#This Row],[Aboard]]</f>
        <v>#DIV/0!</v>
      </c>
      <c r="I710" s="3" t="s">
        <v>294</v>
      </c>
    </row>
    <row r="711" spans="7:9" x14ac:dyDescent="0.25">
      <c r="G711" s="3">
        <f>1</f>
        <v>1</v>
      </c>
      <c r="H711" s="3" t="e">
        <f>Table1[[#This Row],[Fatalities (air)]]/Table1[[#This Row],[Aboard]]</f>
        <v>#DIV/0!</v>
      </c>
      <c r="I711" s="3" t="s">
        <v>294</v>
      </c>
    </row>
    <row r="712" spans="7:9" x14ac:dyDescent="0.25">
      <c r="G712" s="3">
        <f>1</f>
        <v>1</v>
      </c>
      <c r="H712" s="3" t="e">
        <f>Table1[[#This Row],[Fatalities (air)]]/Table1[[#This Row],[Aboard]]</f>
        <v>#DIV/0!</v>
      </c>
      <c r="I712" s="3" t="s">
        <v>294</v>
      </c>
    </row>
    <row r="713" spans="7:9" x14ac:dyDescent="0.25">
      <c r="G713" s="3">
        <f>1</f>
        <v>1</v>
      </c>
      <c r="H713" s="3" t="e">
        <f>Table1[[#This Row],[Fatalities (air)]]/Table1[[#This Row],[Aboard]]</f>
        <v>#DIV/0!</v>
      </c>
      <c r="I713" s="3" t="s">
        <v>294</v>
      </c>
    </row>
    <row r="714" spans="7:9" x14ac:dyDescent="0.25">
      <c r="G714" s="3">
        <f>1</f>
        <v>1</v>
      </c>
      <c r="H714" s="3" t="e">
        <f>Table1[[#This Row],[Fatalities (air)]]/Table1[[#This Row],[Aboard]]</f>
        <v>#DIV/0!</v>
      </c>
      <c r="I714" s="3" t="s">
        <v>294</v>
      </c>
    </row>
    <row r="715" spans="7:9" x14ac:dyDescent="0.25">
      <c r="G715" s="3">
        <f>1</f>
        <v>1</v>
      </c>
      <c r="H715" s="3" t="e">
        <f>Table1[[#This Row],[Fatalities (air)]]/Table1[[#This Row],[Aboard]]</f>
        <v>#DIV/0!</v>
      </c>
      <c r="I715" s="3" t="s">
        <v>294</v>
      </c>
    </row>
    <row r="716" spans="7:9" x14ac:dyDescent="0.25">
      <c r="G716" s="3">
        <f>1</f>
        <v>1</v>
      </c>
      <c r="H716" s="3" t="e">
        <f>Table1[[#This Row],[Fatalities (air)]]/Table1[[#This Row],[Aboard]]</f>
        <v>#DIV/0!</v>
      </c>
      <c r="I716" s="3" t="s">
        <v>294</v>
      </c>
    </row>
    <row r="717" spans="7:9" x14ac:dyDescent="0.25">
      <c r="G717" s="3">
        <f>1</f>
        <v>1</v>
      </c>
      <c r="H717" s="3" t="e">
        <f>Table1[[#This Row],[Fatalities (air)]]/Table1[[#This Row],[Aboard]]</f>
        <v>#DIV/0!</v>
      </c>
      <c r="I717" s="3" t="s">
        <v>294</v>
      </c>
    </row>
    <row r="718" spans="7:9" x14ac:dyDescent="0.25">
      <c r="G718" s="3">
        <f>1</f>
        <v>1</v>
      </c>
      <c r="H718" s="3" t="e">
        <f>Table1[[#This Row],[Fatalities (air)]]/Table1[[#This Row],[Aboard]]</f>
        <v>#DIV/0!</v>
      </c>
      <c r="I718" s="3" t="s">
        <v>294</v>
      </c>
    </row>
    <row r="719" spans="7:9" x14ac:dyDescent="0.25">
      <c r="G719" s="3">
        <f>1</f>
        <v>1</v>
      </c>
      <c r="H719" s="3" t="e">
        <f>Table1[[#This Row],[Fatalities (air)]]/Table1[[#This Row],[Aboard]]</f>
        <v>#DIV/0!</v>
      </c>
      <c r="I719" s="3" t="s">
        <v>294</v>
      </c>
    </row>
    <row r="720" spans="7:9" x14ac:dyDescent="0.25">
      <c r="G720" s="3">
        <f>1</f>
        <v>1</v>
      </c>
      <c r="H720" s="3" t="e">
        <f>Table1[[#This Row],[Fatalities (air)]]/Table1[[#This Row],[Aboard]]</f>
        <v>#DIV/0!</v>
      </c>
      <c r="I720" s="3" t="s">
        <v>294</v>
      </c>
    </row>
    <row r="721" spans="7:9" x14ac:dyDescent="0.25">
      <c r="G721" s="3">
        <f>1</f>
        <v>1</v>
      </c>
      <c r="H721" s="3" t="e">
        <f>Table1[[#This Row],[Fatalities (air)]]/Table1[[#This Row],[Aboard]]</f>
        <v>#DIV/0!</v>
      </c>
      <c r="I721" s="3" t="s">
        <v>294</v>
      </c>
    </row>
    <row r="722" spans="7:9" x14ac:dyDescent="0.25">
      <c r="G722" s="3">
        <f>1</f>
        <v>1</v>
      </c>
      <c r="H722" s="3" t="e">
        <f>Table1[[#This Row],[Fatalities (air)]]/Table1[[#This Row],[Aboard]]</f>
        <v>#DIV/0!</v>
      </c>
      <c r="I722" s="3" t="s">
        <v>294</v>
      </c>
    </row>
    <row r="723" spans="7:9" x14ac:dyDescent="0.25">
      <c r="G723" s="3">
        <f>1</f>
        <v>1</v>
      </c>
      <c r="H723" s="3" t="e">
        <f>Table1[[#This Row],[Fatalities (air)]]/Table1[[#This Row],[Aboard]]</f>
        <v>#DIV/0!</v>
      </c>
      <c r="I723" s="3" t="s">
        <v>297</v>
      </c>
    </row>
    <row r="724" spans="7:9" x14ac:dyDescent="0.25">
      <c r="G724" s="3">
        <f>1</f>
        <v>1</v>
      </c>
      <c r="H724" s="3" t="e">
        <f>Table1[[#This Row],[Fatalities (air)]]/Table1[[#This Row],[Aboard]]</f>
        <v>#DIV/0!</v>
      </c>
      <c r="I724" s="3" t="s">
        <v>295</v>
      </c>
    </row>
    <row r="725" spans="7:9" x14ac:dyDescent="0.25">
      <c r="G725" s="3">
        <f>1</f>
        <v>1</v>
      </c>
      <c r="H725" s="3" t="e">
        <f>Table1[[#This Row],[Fatalities (air)]]/Table1[[#This Row],[Aboard]]</f>
        <v>#DIV/0!</v>
      </c>
      <c r="I725" s="3" t="s">
        <v>297</v>
      </c>
    </row>
    <row r="726" spans="7:9" x14ac:dyDescent="0.25">
      <c r="G726" s="3">
        <f>1</f>
        <v>1</v>
      </c>
      <c r="H726" s="3" t="e">
        <f>Table1[[#This Row],[Fatalities (air)]]/Table1[[#This Row],[Aboard]]</f>
        <v>#DIV/0!</v>
      </c>
      <c r="I726" s="3" t="s">
        <v>297</v>
      </c>
    </row>
    <row r="727" spans="7:9" x14ac:dyDescent="0.25">
      <c r="G727" s="3">
        <f>1</f>
        <v>1</v>
      </c>
      <c r="H727" s="3" t="e">
        <f>Table1[[#This Row],[Fatalities (air)]]/Table1[[#This Row],[Aboard]]</f>
        <v>#DIV/0!</v>
      </c>
      <c r="I727" s="3" t="s">
        <v>297</v>
      </c>
    </row>
    <row r="728" spans="7:9" x14ac:dyDescent="0.25">
      <c r="G728" s="3">
        <f>1</f>
        <v>1</v>
      </c>
      <c r="H728" s="3" t="e">
        <f>Table1[[#This Row],[Fatalities (air)]]/Table1[[#This Row],[Aboard]]</f>
        <v>#DIV/0!</v>
      </c>
      <c r="I728" s="3" t="s">
        <v>294</v>
      </c>
    </row>
    <row r="729" spans="7:9" x14ac:dyDescent="0.25">
      <c r="G729" s="3">
        <f>1</f>
        <v>1</v>
      </c>
      <c r="H729" s="3" t="e">
        <f>Table1[[#This Row],[Fatalities (air)]]/Table1[[#This Row],[Aboard]]</f>
        <v>#DIV/0!</v>
      </c>
      <c r="I729" s="3" t="s">
        <v>294</v>
      </c>
    </row>
    <row r="730" spans="7:9" x14ac:dyDescent="0.25">
      <c r="G730" s="3">
        <f>1</f>
        <v>1</v>
      </c>
      <c r="H730" s="3" t="e">
        <f>Table1[[#This Row],[Fatalities (air)]]/Table1[[#This Row],[Aboard]]</f>
        <v>#DIV/0!</v>
      </c>
      <c r="I730" s="3" t="s">
        <v>295</v>
      </c>
    </row>
    <row r="731" spans="7:9" x14ac:dyDescent="0.25">
      <c r="G731" s="3">
        <f>1</f>
        <v>1</v>
      </c>
      <c r="H731" s="3" t="e">
        <f>Table1[[#This Row],[Fatalities (air)]]/Table1[[#This Row],[Aboard]]</f>
        <v>#DIV/0!</v>
      </c>
      <c r="I731" s="3" t="s">
        <v>295</v>
      </c>
    </row>
    <row r="732" spans="7:9" x14ac:dyDescent="0.25">
      <c r="G732" s="3">
        <f>1</f>
        <v>1</v>
      </c>
      <c r="H732" s="3" t="e">
        <f>Table1[[#This Row],[Fatalities (air)]]/Table1[[#This Row],[Aboard]]</f>
        <v>#DIV/0!</v>
      </c>
      <c r="I732" s="3" t="s">
        <v>295</v>
      </c>
    </row>
    <row r="733" spans="7:9" x14ac:dyDescent="0.25">
      <c r="G733" s="3">
        <f>1</f>
        <v>1</v>
      </c>
      <c r="H733" s="3" t="e">
        <f>Table1[[#This Row],[Fatalities (air)]]/Table1[[#This Row],[Aboard]]</f>
        <v>#DIV/0!</v>
      </c>
      <c r="I733" s="3" t="s">
        <v>295</v>
      </c>
    </row>
    <row r="734" spans="7:9" x14ac:dyDescent="0.25">
      <c r="G734" s="3">
        <f>1</f>
        <v>1</v>
      </c>
      <c r="H734" s="3" t="e">
        <f>Table1[[#This Row],[Fatalities (air)]]/Table1[[#This Row],[Aboard]]</f>
        <v>#DIV/0!</v>
      </c>
      <c r="I734" s="3" t="s">
        <v>295</v>
      </c>
    </row>
    <row r="735" spans="7:9" x14ac:dyDescent="0.25">
      <c r="G735" s="3">
        <f>1</f>
        <v>1</v>
      </c>
      <c r="H735" s="3" t="e">
        <f>Table1[[#This Row],[Fatalities (air)]]/Table1[[#This Row],[Aboard]]</f>
        <v>#DIV/0!</v>
      </c>
      <c r="I735" s="3" t="s">
        <v>295</v>
      </c>
    </row>
    <row r="736" spans="7:9" x14ac:dyDescent="0.25">
      <c r="G736" s="3">
        <f>1</f>
        <v>1</v>
      </c>
      <c r="H736" s="3" t="e">
        <f>Table1[[#This Row],[Fatalities (air)]]/Table1[[#This Row],[Aboard]]</f>
        <v>#DIV/0!</v>
      </c>
      <c r="I736" s="3" t="s">
        <v>295</v>
      </c>
    </row>
    <row r="737" spans="7:9" x14ac:dyDescent="0.25">
      <c r="G737" s="3">
        <f>1</f>
        <v>1</v>
      </c>
      <c r="H737" s="3" t="e">
        <f>Table1[[#This Row],[Fatalities (air)]]/Table1[[#This Row],[Aboard]]</f>
        <v>#DIV/0!</v>
      </c>
      <c r="I737" s="3" t="s">
        <v>295</v>
      </c>
    </row>
    <row r="738" spans="7:9" x14ac:dyDescent="0.25">
      <c r="G738" s="3">
        <f>1</f>
        <v>1</v>
      </c>
      <c r="H738" s="3" t="e">
        <f>Table1[[#This Row],[Fatalities (air)]]/Table1[[#This Row],[Aboard]]</f>
        <v>#DIV/0!</v>
      </c>
      <c r="I738" s="3" t="s">
        <v>295</v>
      </c>
    </row>
    <row r="739" spans="7:9" x14ac:dyDescent="0.25">
      <c r="G739" s="3">
        <f>1</f>
        <v>1</v>
      </c>
      <c r="H739" s="3" t="e">
        <f>Table1[[#This Row],[Fatalities (air)]]/Table1[[#This Row],[Aboard]]</f>
        <v>#DIV/0!</v>
      </c>
      <c r="I739" s="3" t="s">
        <v>295</v>
      </c>
    </row>
    <row r="740" spans="7:9" x14ac:dyDescent="0.25">
      <c r="G740" s="3">
        <f>1</f>
        <v>1</v>
      </c>
      <c r="H740" s="3" t="e">
        <f>Table1[[#This Row],[Fatalities (air)]]/Table1[[#This Row],[Aboard]]</f>
        <v>#DIV/0!</v>
      </c>
      <c r="I740" s="3" t="s">
        <v>295</v>
      </c>
    </row>
    <row r="741" spans="7:9" x14ac:dyDescent="0.25">
      <c r="G741" s="3">
        <f>1</f>
        <v>1</v>
      </c>
      <c r="H741" s="3" t="e">
        <f>Table1[[#This Row],[Fatalities (air)]]/Table1[[#This Row],[Aboard]]</f>
        <v>#DIV/0!</v>
      </c>
      <c r="I741" s="3" t="s">
        <v>295</v>
      </c>
    </row>
    <row r="742" spans="7:9" x14ac:dyDescent="0.25">
      <c r="G742" s="3">
        <f>1</f>
        <v>1</v>
      </c>
      <c r="H742" s="3" t="e">
        <f>Table1[[#This Row],[Fatalities (air)]]/Table1[[#This Row],[Aboard]]</f>
        <v>#DIV/0!</v>
      </c>
      <c r="I742" s="3" t="s">
        <v>295</v>
      </c>
    </row>
    <row r="743" spans="7:9" x14ac:dyDescent="0.25">
      <c r="G743" s="3">
        <f>1</f>
        <v>1</v>
      </c>
      <c r="H743" s="3" t="e">
        <f>Table1[[#This Row],[Fatalities (air)]]/Table1[[#This Row],[Aboard]]</f>
        <v>#DIV/0!</v>
      </c>
      <c r="I743" s="3" t="s">
        <v>295</v>
      </c>
    </row>
    <row r="744" spans="7:9" x14ac:dyDescent="0.25">
      <c r="G744" s="3">
        <f>1</f>
        <v>1</v>
      </c>
      <c r="H744" s="3" t="e">
        <f>Table1[[#This Row],[Fatalities (air)]]/Table1[[#This Row],[Aboard]]</f>
        <v>#DIV/0!</v>
      </c>
      <c r="I744" s="3" t="s">
        <v>295</v>
      </c>
    </row>
    <row r="745" spans="7:9" x14ac:dyDescent="0.25">
      <c r="G745" s="3">
        <f>1</f>
        <v>1</v>
      </c>
      <c r="H745" s="3" t="e">
        <f>Table1[[#This Row],[Fatalities (air)]]/Table1[[#This Row],[Aboard]]</f>
        <v>#DIV/0!</v>
      </c>
      <c r="I745" s="3" t="s">
        <v>295</v>
      </c>
    </row>
    <row r="746" spans="7:9" x14ac:dyDescent="0.25">
      <c r="G746" s="3">
        <f>1</f>
        <v>1</v>
      </c>
      <c r="H746" s="3" t="e">
        <f>Table1[[#This Row],[Fatalities (air)]]/Table1[[#This Row],[Aboard]]</f>
        <v>#DIV/0!</v>
      </c>
      <c r="I746" s="3" t="s">
        <v>296</v>
      </c>
    </row>
    <row r="747" spans="7:9" x14ac:dyDescent="0.25">
      <c r="G747" s="3">
        <f>1</f>
        <v>1</v>
      </c>
      <c r="H747" s="3" t="e">
        <f>Table1[[#This Row],[Fatalities (air)]]/Table1[[#This Row],[Aboard]]</f>
        <v>#DIV/0!</v>
      </c>
      <c r="I747" s="3" t="s">
        <v>296</v>
      </c>
    </row>
    <row r="748" spans="7:9" x14ac:dyDescent="0.25">
      <c r="G748" s="3">
        <f>1</f>
        <v>1</v>
      </c>
      <c r="H748" s="3" t="e">
        <f>Table1[[#This Row],[Fatalities (air)]]/Table1[[#This Row],[Aboard]]</f>
        <v>#DIV/0!</v>
      </c>
      <c r="I748" s="3" t="s">
        <v>296</v>
      </c>
    </row>
    <row r="749" spans="7:9" x14ac:dyDescent="0.25">
      <c r="G749" s="3">
        <f>1</f>
        <v>1</v>
      </c>
      <c r="H749" s="3" t="e">
        <f>Table1[[#This Row],[Fatalities (air)]]/Table1[[#This Row],[Aboard]]</f>
        <v>#DIV/0!</v>
      </c>
      <c r="I749" s="3" t="s">
        <v>296</v>
      </c>
    </row>
    <row r="750" spans="7:9" x14ac:dyDescent="0.25">
      <c r="G750" s="3">
        <f>1</f>
        <v>1</v>
      </c>
      <c r="H750" s="3" t="e">
        <f>Table1[[#This Row],[Fatalities (air)]]/Table1[[#This Row],[Aboard]]</f>
        <v>#DIV/0!</v>
      </c>
      <c r="I750" s="3" t="s">
        <v>296</v>
      </c>
    </row>
    <row r="751" spans="7:9" x14ac:dyDescent="0.25">
      <c r="G751" s="3">
        <f>1</f>
        <v>1</v>
      </c>
      <c r="H751" s="3" t="e">
        <f>Table1[[#This Row],[Fatalities (air)]]/Table1[[#This Row],[Aboard]]</f>
        <v>#DIV/0!</v>
      </c>
      <c r="I751" s="3" t="s">
        <v>296</v>
      </c>
    </row>
    <row r="752" spans="7:9" x14ac:dyDescent="0.25">
      <c r="G752" s="3">
        <f>1</f>
        <v>1</v>
      </c>
      <c r="H752" s="3" t="e">
        <f>Table1[[#This Row],[Fatalities (air)]]/Table1[[#This Row],[Aboard]]</f>
        <v>#DIV/0!</v>
      </c>
      <c r="I752" s="3" t="s">
        <v>296</v>
      </c>
    </row>
    <row r="753" spans="7:9" x14ac:dyDescent="0.25">
      <c r="G753" s="3">
        <f>1</f>
        <v>1</v>
      </c>
      <c r="H753" s="3" t="e">
        <f>Table1[[#This Row],[Fatalities (air)]]/Table1[[#This Row],[Aboard]]</f>
        <v>#DIV/0!</v>
      </c>
      <c r="I753" s="3" t="s">
        <v>296</v>
      </c>
    </row>
    <row r="754" spans="7:9" x14ac:dyDescent="0.25">
      <c r="G754" s="3">
        <f>1</f>
        <v>1</v>
      </c>
      <c r="H754" s="3" t="e">
        <f>Table1[[#This Row],[Fatalities (air)]]/Table1[[#This Row],[Aboard]]</f>
        <v>#DIV/0!</v>
      </c>
      <c r="I754" s="3" t="s">
        <v>296</v>
      </c>
    </row>
    <row r="755" spans="7:9" x14ac:dyDescent="0.25">
      <c r="G755" s="3">
        <f>1</f>
        <v>1</v>
      </c>
      <c r="H755" s="3" t="e">
        <f>Table1[[#This Row],[Fatalities (air)]]/Table1[[#This Row],[Aboard]]</f>
        <v>#DIV/0!</v>
      </c>
      <c r="I755" s="3" t="s">
        <v>296</v>
      </c>
    </row>
    <row r="756" spans="7:9" x14ac:dyDescent="0.25">
      <c r="G756" s="3">
        <f>1</f>
        <v>1</v>
      </c>
      <c r="H756" s="3" t="e">
        <f>Table1[[#This Row],[Fatalities (air)]]/Table1[[#This Row],[Aboard]]</f>
        <v>#DIV/0!</v>
      </c>
      <c r="I756" s="3" t="s">
        <v>296</v>
      </c>
    </row>
    <row r="757" spans="7:9" x14ac:dyDescent="0.25">
      <c r="G757" s="3">
        <f>1</f>
        <v>1</v>
      </c>
      <c r="H757" s="3" t="e">
        <f>Table1[[#This Row],[Fatalities (air)]]/Table1[[#This Row],[Aboard]]</f>
        <v>#DIV/0!</v>
      </c>
      <c r="I757" s="3" t="s">
        <v>296</v>
      </c>
    </row>
    <row r="758" spans="7:9" x14ac:dyDescent="0.25">
      <c r="G758" s="3">
        <f>1</f>
        <v>1</v>
      </c>
      <c r="H758" s="3" t="e">
        <f>Table1[[#This Row],[Fatalities (air)]]/Table1[[#This Row],[Aboard]]</f>
        <v>#DIV/0!</v>
      </c>
      <c r="I758" s="3" t="s">
        <v>296</v>
      </c>
    </row>
    <row r="759" spans="7:9" x14ac:dyDescent="0.25">
      <c r="G759" s="3">
        <f>1</f>
        <v>1</v>
      </c>
      <c r="H759" s="3" t="e">
        <f>Table1[[#This Row],[Fatalities (air)]]/Table1[[#This Row],[Aboard]]</f>
        <v>#DIV/0!</v>
      </c>
      <c r="I759" s="3" t="s">
        <v>296</v>
      </c>
    </row>
    <row r="760" spans="7:9" x14ac:dyDescent="0.25">
      <c r="G760" s="3">
        <f>1</f>
        <v>1</v>
      </c>
      <c r="H760" s="3" t="e">
        <f>Table1[[#This Row],[Fatalities (air)]]/Table1[[#This Row],[Aboard]]</f>
        <v>#DIV/0!</v>
      </c>
      <c r="I760" s="3" t="s">
        <v>296</v>
      </c>
    </row>
    <row r="761" spans="7:9" x14ac:dyDescent="0.25">
      <c r="G761" s="3">
        <f>1</f>
        <v>1</v>
      </c>
      <c r="H761" s="3" t="e">
        <f>Table1[[#This Row],[Fatalities (air)]]/Table1[[#This Row],[Aboard]]</f>
        <v>#DIV/0!</v>
      </c>
      <c r="I761" s="3" t="s">
        <v>296</v>
      </c>
    </row>
    <row r="762" spans="7:9" x14ac:dyDescent="0.25">
      <c r="G762" s="3">
        <f>1</f>
        <v>1</v>
      </c>
      <c r="H762" s="3" t="e">
        <f>Table1[[#This Row],[Fatalities (air)]]/Table1[[#This Row],[Aboard]]</f>
        <v>#DIV/0!</v>
      </c>
      <c r="I762" s="3" t="s">
        <v>296</v>
      </c>
    </row>
    <row r="763" spans="7:9" x14ac:dyDescent="0.25">
      <c r="G763" s="3">
        <f>1</f>
        <v>1</v>
      </c>
      <c r="H763" s="3" t="e">
        <f>Table1[[#This Row],[Fatalities (air)]]/Table1[[#This Row],[Aboard]]</f>
        <v>#DIV/0!</v>
      </c>
      <c r="I763" s="3" t="s">
        <v>296</v>
      </c>
    </row>
    <row r="764" spans="7:9" x14ac:dyDescent="0.25">
      <c r="G764" s="3">
        <f>1</f>
        <v>1</v>
      </c>
      <c r="H764" s="3" t="e">
        <f>Table1[[#This Row],[Fatalities (air)]]/Table1[[#This Row],[Aboard]]</f>
        <v>#DIV/0!</v>
      </c>
      <c r="I764" s="3" t="s">
        <v>296</v>
      </c>
    </row>
    <row r="765" spans="7:9" x14ac:dyDescent="0.25">
      <c r="G765" s="3">
        <f>1</f>
        <v>1</v>
      </c>
      <c r="H765" s="3" t="e">
        <f>Table1[[#This Row],[Fatalities (air)]]/Table1[[#This Row],[Aboard]]</f>
        <v>#DIV/0!</v>
      </c>
      <c r="I765" s="3" t="s">
        <v>296</v>
      </c>
    </row>
    <row r="766" spans="7:9" x14ac:dyDescent="0.25">
      <c r="G766" s="3">
        <f>1</f>
        <v>1</v>
      </c>
      <c r="H766" s="3" t="e">
        <f>Table1[[#This Row],[Fatalities (air)]]/Table1[[#This Row],[Aboard]]</f>
        <v>#DIV/0!</v>
      </c>
      <c r="I766" s="3" t="s">
        <v>295</v>
      </c>
    </row>
    <row r="767" spans="7:9" x14ac:dyDescent="0.25">
      <c r="G767" s="3">
        <f>1</f>
        <v>1</v>
      </c>
      <c r="H767" s="3" t="e">
        <f>Table1[[#This Row],[Fatalities (air)]]/Table1[[#This Row],[Aboard]]</f>
        <v>#DIV/0!</v>
      </c>
      <c r="I767" s="3" t="s">
        <v>295</v>
      </c>
    </row>
    <row r="768" spans="7:9" x14ac:dyDescent="0.25">
      <c r="G768" s="3">
        <f>1</f>
        <v>1</v>
      </c>
      <c r="H768" s="3" t="e">
        <f>Table1[[#This Row],[Fatalities (air)]]/Table1[[#This Row],[Aboard]]</f>
        <v>#DIV/0!</v>
      </c>
      <c r="I768" s="3" t="s">
        <v>295</v>
      </c>
    </row>
    <row r="769" spans="7:9" x14ac:dyDescent="0.25">
      <c r="G769" s="3">
        <f>1</f>
        <v>1</v>
      </c>
      <c r="H769" s="3" t="e">
        <f>Table1[[#This Row],[Fatalities (air)]]/Table1[[#This Row],[Aboard]]</f>
        <v>#DIV/0!</v>
      </c>
      <c r="I769" s="3" t="s">
        <v>295</v>
      </c>
    </row>
    <row r="770" spans="7:9" x14ac:dyDescent="0.25">
      <c r="G770" s="3">
        <f>1</f>
        <v>1</v>
      </c>
      <c r="H770" s="3" t="e">
        <f>Table1[[#This Row],[Fatalities (air)]]/Table1[[#This Row],[Aboard]]</f>
        <v>#DIV/0!</v>
      </c>
      <c r="I770" s="3" t="s">
        <v>295</v>
      </c>
    </row>
    <row r="771" spans="7:9" x14ac:dyDescent="0.25">
      <c r="G771" s="3">
        <f>1</f>
        <v>1</v>
      </c>
      <c r="H771" s="3" t="e">
        <f>Table1[[#This Row],[Fatalities (air)]]/Table1[[#This Row],[Aboard]]</f>
        <v>#DIV/0!</v>
      </c>
      <c r="I771" s="3" t="s">
        <v>295</v>
      </c>
    </row>
    <row r="772" spans="7:9" x14ac:dyDescent="0.25">
      <c r="G772" s="3">
        <f>1</f>
        <v>1</v>
      </c>
      <c r="H772" s="3" t="e">
        <f>Table1[[#This Row],[Fatalities (air)]]/Table1[[#This Row],[Aboard]]</f>
        <v>#DIV/0!</v>
      </c>
      <c r="I772" s="3" t="s">
        <v>295</v>
      </c>
    </row>
    <row r="773" spans="7:9" x14ac:dyDescent="0.25">
      <c r="G773" s="3">
        <f>1</f>
        <v>1</v>
      </c>
      <c r="H773" s="3" t="e">
        <f>Table1[[#This Row],[Fatalities (air)]]/Table1[[#This Row],[Aboard]]</f>
        <v>#DIV/0!</v>
      </c>
      <c r="I773" s="3" t="s">
        <v>295</v>
      </c>
    </row>
    <row r="774" spans="7:9" x14ac:dyDescent="0.25">
      <c r="G774" s="3">
        <f>1</f>
        <v>1</v>
      </c>
      <c r="H774" s="3" t="e">
        <f>Table1[[#This Row],[Fatalities (air)]]/Table1[[#This Row],[Aboard]]</f>
        <v>#DIV/0!</v>
      </c>
      <c r="I774" s="3" t="s">
        <v>295</v>
      </c>
    </row>
    <row r="775" spans="7:9" x14ac:dyDescent="0.25">
      <c r="G775" s="3">
        <f>1</f>
        <v>1</v>
      </c>
      <c r="H775" s="3" t="e">
        <f>Table1[[#This Row],[Fatalities (air)]]/Table1[[#This Row],[Aboard]]</f>
        <v>#DIV/0!</v>
      </c>
      <c r="I775" s="3" t="s">
        <v>297</v>
      </c>
    </row>
    <row r="776" spans="7:9" x14ac:dyDescent="0.25">
      <c r="G776" s="3">
        <f>1</f>
        <v>1</v>
      </c>
      <c r="H776" s="3" t="e">
        <f>Table1[[#This Row],[Fatalities (air)]]/Table1[[#This Row],[Aboard]]</f>
        <v>#DIV/0!</v>
      </c>
      <c r="I776" s="3" t="s">
        <v>297</v>
      </c>
    </row>
    <row r="777" spans="7:9" x14ac:dyDescent="0.25">
      <c r="G777" s="3">
        <f>1</f>
        <v>1</v>
      </c>
      <c r="H777" s="3" t="e">
        <f>Table1[[#This Row],[Fatalities (air)]]/Table1[[#This Row],[Aboard]]</f>
        <v>#DIV/0!</v>
      </c>
      <c r="I777" s="3" t="s">
        <v>297</v>
      </c>
    </row>
    <row r="778" spans="7:9" x14ac:dyDescent="0.25">
      <c r="G778" s="3">
        <f>1</f>
        <v>1</v>
      </c>
      <c r="H778" s="3" t="e">
        <f>Table1[[#This Row],[Fatalities (air)]]/Table1[[#This Row],[Aboard]]</f>
        <v>#DIV/0!</v>
      </c>
      <c r="I778" s="3" t="s">
        <v>297</v>
      </c>
    </row>
    <row r="779" spans="7:9" x14ac:dyDescent="0.25">
      <c r="G779" s="3">
        <f>1</f>
        <v>1</v>
      </c>
      <c r="H779" s="3" t="e">
        <f>Table1[[#This Row],[Fatalities (air)]]/Table1[[#This Row],[Aboard]]</f>
        <v>#DIV/0!</v>
      </c>
      <c r="I779" s="3" t="s">
        <v>297</v>
      </c>
    </row>
    <row r="780" spans="7:9" x14ac:dyDescent="0.25">
      <c r="G780" s="3">
        <f>1</f>
        <v>1</v>
      </c>
      <c r="H780" s="3" t="e">
        <f>Table1[[#This Row],[Fatalities (air)]]/Table1[[#This Row],[Aboard]]</f>
        <v>#DIV/0!</v>
      </c>
      <c r="I780" s="3" t="s">
        <v>294</v>
      </c>
    </row>
    <row r="781" spans="7:9" x14ac:dyDescent="0.25">
      <c r="G781" s="3">
        <f>1</f>
        <v>1</v>
      </c>
      <c r="H781" s="3" t="e">
        <f>Table1[[#This Row],[Fatalities (air)]]/Table1[[#This Row],[Aboard]]</f>
        <v>#DIV/0!</v>
      </c>
      <c r="I781" s="3" t="s">
        <v>294</v>
      </c>
    </row>
    <row r="782" spans="7:9" x14ac:dyDescent="0.25">
      <c r="G782" s="3">
        <f>1</f>
        <v>1</v>
      </c>
      <c r="H782" s="3" t="e">
        <f>Table1[[#This Row],[Fatalities (air)]]/Table1[[#This Row],[Aboard]]</f>
        <v>#DIV/0!</v>
      </c>
      <c r="I782" s="3" t="s">
        <v>294</v>
      </c>
    </row>
    <row r="783" spans="7:9" x14ac:dyDescent="0.25">
      <c r="G783" s="3">
        <f>1</f>
        <v>1</v>
      </c>
      <c r="H783" s="3" t="e">
        <f>Table1[[#This Row],[Fatalities (air)]]/Table1[[#This Row],[Aboard]]</f>
        <v>#DIV/0!</v>
      </c>
      <c r="I783" s="3" t="s">
        <v>294</v>
      </c>
    </row>
    <row r="784" spans="7:9" x14ac:dyDescent="0.25">
      <c r="G784" s="3">
        <f>1</f>
        <v>1</v>
      </c>
      <c r="H784" s="3" t="e">
        <f>Table1[[#This Row],[Fatalities (air)]]/Table1[[#This Row],[Aboard]]</f>
        <v>#DIV/0!</v>
      </c>
      <c r="I784" s="3" t="s">
        <v>294</v>
      </c>
    </row>
    <row r="785" spans="7:9" x14ac:dyDescent="0.25">
      <c r="G785" s="3">
        <f>1</f>
        <v>1</v>
      </c>
      <c r="H785" s="3" t="e">
        <f>Table1[[#This Row],[Fatalities (air)]]/Table1[[#This Row],[Aboard]]</f>
        <v>#DIV/0!</v>
      </c>
      <c r="I785" s="3" t="s">
        <v>294</v>
      </c>
    </row>
    <row r="786" spans="7:9" x14ac:dyDescent="0.25">
      <c r="G786" s="3">
        <f>1</f>
        <v>1</v>
      </c>
      <c r="H786" s="3" t="e">
        <f>Table1[[#This Row],[Fatalities (air)]]/Table1[[#This Row],[Aboard]]</f>
        <v>#DIV/0!</v>
      </c>
      <c r="I786" s="3" t="s">
        <v>294</v>
      </c>
    </row>
    <row r="787" spans="7:9" x14ac:dyDescent="0.25">
      <c r="G787" s="3">
        <f>1</f>
        <v>1</v>
      </c>
      <c r="H787" s="3" t="e">
        <f>Table1[[#This Row],[Fatalities (air)]]/Table1[[#This Row],[Aboard]]</f>
        <v>#DIV/0!</v>
      </c>
      <c r="I787" s="3" t="s">
        <v>294</v>
      </c>
    </row>
    <row r="788" spans="7:9" x14ac:dyDescent="0.25">
      <c r="G788" s="3">
        <f>1</f>
        <v>1</v>
      </c>
      <c r="H788" s="3" t="e">
        <f>Table1[[#This Row],[Fatalities (air)]]/Table1[[#This Row],[Aboard]]</f>
        <v>#DIV/0!</v>
      </c>
      <c r="I788" s="3" t="s">
        <v>294</v>
      </c>
    </row>
    <row r="789" spans="7:9" x14ac:dyDescent="0.25">
      <c r="G789" s="3">
        <f>1</f>
        <v>1</v>
      </c>
      <c r="H789" s="3" t="e">
        <f>Table1[[#This Row],[Fatalities (air)]]/Table1[[#This Row],[Aboard]]</f>
        <v>#DIV/0!</v>
      </c>
      <c r="I789" s="3" t="s">
        <v>294</v>
      </c>
    </row>
    <row r="790" spans="7:9" x14ac:dyDescent="0.25">
      <c r="G790" s="3">
        <f>1</f>
        <v>1</v>
      </c>
      <c r="H790" s="3" t="e">
        <f>Table1[[#This Row],[Fatalities (air)]]/Table1[[#This Row],[Aboard]]</f>
        <v>#DIV/0!</v>
      </c>
      <c r="I790" s="3" t="s">
        <v>294</v>
      </c>
    </row>
    <row r="791" spans="7:9" x14ac:dyDescent="0.25">
      <c r="G791" s="3">
        <f>1</f>
        <v>1</v>
      </c>
      <c r="H791" s="3" t="e">
        <f>Table1[[#This Row],[Fatalities (air)]]/Table1[[#This Row],[Aboard]]</f>
        <v>#DIV/0!</v>
      </c>
      <c r="I791" s="3" t="s">
        <v>294</v>
      </c>
    </row>
    <row r="792" spans="7:9" x14ac:dyDescent="0.25">
      <c r="G792" s="3">
        <f>1</f>
        <v>1</v>
      </c>
      <c r="H792" s="3" t="e">
        <f>Table1[[#This Row],[Fatalities (air)]]/Table1[[#This Row],[Aboard]]</f>
        <v>#DIV/0!</v>
      </c>
      <c r="I792" s="3" t="s">
        <v>295</v>
      </c>
    </row>
    <row r="793" spans="7:9" x14ac:dyDescent="0.25">
      <c r="G793" s="3">
        <f>1</f>
        <v>1</v>
      </c>
      <c r="H793" s="3" t="e">
        <f>Table1[[#This Row],[Fatalities (air)]]/Table1[[#This Row],[Aboard]]</f>
        <v>#DIV/0!</v>
      </c>
      <c r="I793" s="3" t="s">
        <v>295</v>
      </c>
    </row>
    <row r="794" spans="7:9" x14ac:dyDescent="0.25">
      <c r="G794" s="3">
        <f>1</f>
        <v>1</v>
      </c>
      <c r="H794" s="3" t="e">
        <f>Table1[[#This Row],[Fatalities (air)]]/Table1[[#This Row],[Aboard]]</f>
        <v>#DIV/0!</v>
      </c>
      <c r="I794" s="3" t="s">
        <v>295</v>
      </c>
    </row>
    <row r="795" spans="7:9" x14ac:dyDescent="0.25">
      <c r="G795" s="3">
        <f>1</f>
        <v>1</v>
      </c>
      <c r="H795" s="3" t="e">
        <f>Table1[[#This Row],[Fatalities (air)]]/Table1[[#This Row],[Aboard]]</f>
        <v>#DIV/0!</v>
      </c>
      <c r="I795" s="3" t="s">
        <v>295</v>
      </c>
    </row>
    <row r="796" spans="7:9" x14ac:dyDescent="0.25">
      <c r="G796" s="3">
        <f>1</f>
        <v>1</v>
      </c>
      <c r="H796" s="3" t="e">
        <f>Table1[[#This Row],[Fatalities (air)]]/Table1[[#This Row],[Aboard]]</f>
        <v>#DIV/0!</v>
      </c>
      <c r="I796" s="3" t="s">
        <v>295</v>
      </c>
    </row>
    <row r="797" spans="7:9" x14ac:dyDescent="0.25">
      <c r="G797" s="3">
        <f>1</f>
        <v>1</v>
      </c>
      <c r="H797" s="3" t="e">
        <f>Table1[[#This Row],[Fatalities (air)]]/Table1[[#This Row],[Aboard]]</f>
        <v>#DIV/0!</v>
      </c>
      <c r="I797" s="3" t="s">
        <v>297</v>
      </c>
    </row>
    <row r="798" spans="7:9" x14ac:dyDescent="0.25">
      <c r="G798" s="3">
        <f>1</f>
        <v>1</v>
      </c>
      <c r="H798" s="3" t="e">
        <f>Table1[[#This Row],[Fatalities (air)]]/Table1[[#This Row],[Aboard]]</f>
        <v>#DIV/0!</v>
      </c>
      <c r="I798" s="3" t="s">
        <v>297</v>
      </c>
    </row>
    <row r="799" spans="7:9" x14ac:dyDescent="0.25">
      <c r="G799" s="3">
        <f>1</f>
        <v>1</v>
      </c>
      <c r="H799" s="3" t="e">
        <f>Table1[[#This Row],[Fatalities (air)]]/Table1[[#This Row],[Aboard]]</f>
        <v>#DIV/0!</v>
      </c>
      <c r="I799" s="3" t="s">
        <v>297</v>
      </c>
    </row>
    <row r="800" spans="7:9" x14ac:dyDescent="0.25">
      <c r="G800" s="3">
        <f>1</f>
        <v>1</v>
      </c>
      <c r="H800" s="3" t="e">
        <f>Table1[[#This Row],[Fatalities (air)]]/Table1[[#This Row],[Aboard]]</f>
        <v>#DIV/0!</v>
      </c>
      <c r="I800" s="3" t="s">
        <v>297</v>
      </c>
    </row>
    <row r="801" spans="7:9" x14ac:dyDescent="0.25">
      <c r="G801" s="3">
        <f>1</f>
        <v>1</v>
      </c>
      <c r="H801" s="3" t="e">
        <f>Table1[[#This Row],[Fatalities (air)]]/Table1[[#This Row],[Aboard]]</f>
        <v>#DIV/0!</v>
      </c>
      <c r="I801" s="3" t="s">
        <v>294</v>
      </c>
    </row>
    <row r="802" spans="7:9" x14ac:dyDescent="0.25">
      <c r="G802" s="3">
        <f>1</f>
        <v>1</v>
      </c>
      <c r="H802" s="3" t="e">
        <f>Table1[[#This Row],[Fatalities (air)]]/Table1[[#This Row],[Aboard]]</f>
        <v>#DIV/0!</v>
      </c>
      <c r="I802" s="3" t="s">
        <v>294</v>
      </c>
    </row>
    <row r="803" spans="7:9" x14ac:dyDescent="0.25">
      <c r="G803" s="3">
        <f>1</f>
        <v>1</v>
      </c>
      <c r="H803" s="3" t="e">
        <f>Table1[[#This Row],[Fatalities (air)]]/Table1[[#This Row],[Aboard]]</f>
        <v>#DIV/0!</v>
      </c>
      <c r="I803" s="3" t="s">
        <v>294</v>
      </c>
    </row>
    <row r="804" spans="7:9" x14ac:dyDescent="0.25">
      <c r="G804" s="3">
        <f>1</f>
        <v>1</v>
      </c>
      <c r="H804" s="3" t="e">
        <f>Table1[[#This Row],[Fatalities (air)]]/Table1[[#This Row],[Aboard]]</f>
        <v>#DIV/0!</v>
      </c>
      <c r="I804" s="3" t="s">
        <v>295</v>
      </c>
    </row>
    <row r="805" spans="7:9" x14ac:dyDescent="0.25">
      <c r="G805" s="3">
        <f>1</f>
        <v>1</v>
      </c>
      <c r="H805" s="3" t="e">
        <f>Table1[[#This Row],[Fatalities (air)]]/Table1[[#This Row],[Aboard]]</f>
        <v>#DIV/0!</v>
      </c>
      <c r="I805" s="3" t="s">
        <v>295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AED6-EDA5-488A-877A-3AF8694F963A}">
  <dimension ref="A1:R218"/>
  <sheetViews>
    <sheetView showGridLines="0" workbookViewId="0">
      <selection activeCell="W3" sqref="W3"/>
    </sheetView>
  </sheetViews>
  <sheetFormatPr defaultRowHeight="13.8" x14ac:dyDescent="0.25"/>
  <sheetData>
    <row r="1" spans="1:18" ht="14.4" x14ac:dyDescent="0.25">
      <c r="A1" s="5"/>
      <c r="B1" s="6"/>
      <c r="C1" s="6"/>
      <c r="D1" s="6"/>
      <c r="E1" s="6"/>
      <c r="F1" s="6"/>
      <c r="G1" s="6"/>
      <c r="H1" s="6"/>
      <c r="I1" s="6"/>
      <c r="J1" s="6"/>
      <c r="K1" s="6"/>
      <c r="L1" s="6"/>
      <c r="M1" s="6"/>
      <c r="N1" s="6"/>
    </row>
    <row r="2" spans="1:18" ht="14.4" x14ac:dyDescent="0.25">
      <c r="A2" s="5"/>
      <c r="B2" s="5"/>
      <c r="C2" s="6"/>
      <c r="D2" s="6"/>
      <c r="E2" s="6"/>
      <c r="F2" s="6"/>
      <c r="G2" s="6"/>
      <c r="H2" s="6"/>
      <c r="I2" s="6"/>
      <c r="J2" s="6"/>
      <c r="K2" s="6"/>
      <c r="L2" s="6"/>
      <c r="M2" s="6"/>
      <c r="N2" s="6"/>
    </row>
    <row r="3" spans="1:18" ht="262.2" x14ac:dyDescent="0.25">
      <c r="A3" s="6"/>
      <c r="B3" s="6"/>
      <c r="C3" s="6"/>
      <c r="D3" s="6"/>
      <c r="E3" s="6"/>
      <c r="F3" s="6"/>
      <c r="G3" s="6"/>
      <c r="H3" s="6"/>
      <c r="I3" s="6"/>
      <c r="J3" s="6"/>
      <c r="K3" s="6"/>
      <c r="L3" s="6"/>
      <c r="M3" s="6"/>
      <c r="N3" s="6"/>
      <c r="Q3" s="7" t="s">
        <v>293</v>
      </c>
      <c r="R3" s="17"/>
    </row>
    <row r="4" spans="1:18" ht="14.4" x14ac:dyDescent="0.25">
      <c r="A4" s="5"/>
      <c r="B4" s="5"/>
      <c r="C4" s="6"/>
      <c r="D4" s="6"/>
      <c r="E4" s="6"/>
      <c r="F4" s="6"/>
      <c r="G4" s="6"/>
      <c r="H4" s="6"/>
      <c r="I4" s="6"/>
      <c r="J4" s="6"/>
      <c r="K4" s="6"/>
      <c r="L4" s="6"/>
      <c r="M4" s="6"/>
      <c r="N4" s="6"/>
    </row>
    <row r="5" spans="1:18" ht="14.4" x14ac:dyDescent="0.25">
      <c r="A5" s="6"/>
      <c r="B5" s="6"/>
      <c r="C5" s="6"/>
      <c r="D5" s="6"/>
      <c r="E5" s="6"/>
      <c r="F5" s="6"/>
      <c r="G5" s="6"/>
      <c r="H5" s="6"/>
      <c r="I5" s="6"/>
      <c r="J5" s="6"/>
      <c r="K5" s="6"/>
      <c r="L5" s="6"/>
      <c r="M5" s="6"/>
      <c r="N5" s="6"/>
      <c r="Q5" s="19"/>
    </row>
    <row r="6" spans="1:18" ht="14.4" x14ac:dyDescent="0.25">
      <c r="A6" s="5"/>
      <c r="B6" s="5"/>
      <c r="C6" s="6"/>
      <c r="D6" s="6"/>
      <c r="E6" s="6"/>
      <c r="F6" s="6"/>
      <c r="G6" s="6"/>
      <c r="H6" s="6"/>
      <c r="I6" s="6"/>
      <c r="J6" s="6"/>
      <c r="K6" s="6"/>
      <c r="L6" s="6"/>
      <c r="M6" s="6"/>
      <c r="N6" s="6"/>
      <c r="Q6" s="19"/>
    </row>
    <row r="7" spans="1:18" ht="14.4" x14ac:dyDescent="0.25">
      <c r="A7" s="6"/>
      <c r="B7" s="6"/>
      <c r="C7" s="6"/>
      <c r="D7" s="6"/>
      <c r="E7" s="6"/>
      <c r="F7" s="6"/>
      <c r="G7" s="6"/>
      <c r="H7" s="6"/>
      <c r="I7" s="6"/>
      <c r="J7" s="6"/>
      <c r="K7" s="6"/>
      <c r="L7" s="6"/>
      <c r="M7" s="6"/>
      <c r="N7" s="6"/>
      <c r="Q7" s="19"/>
    </row>
    <row r="8" spans="1:18" ht="14.4" x14ac:dyDescent="0.25">
      <c r="A8" s="5"/>
      <c r="B8" s="5"/>
      <c r="C8" s="6"/>
      <c r="D8" s="6"/>
      <c r="E8" s="6"/>
      <c r="F8" s="6"/>
      <c r="G8" s="6"/>
      <c r="H8" s="6"/>
      <c r="I8" s="6"/>
      <c r="J8" s="6"/>
      <c r="K8" s="6"/>
      <c r="L8" s="6"/>
      <c r="M8" s="6"/>
      <c r="N8" s="6"/>
      <c r="Q8" s="19"/>
    </row>
    <row r="9" spans="1:18" x14ac:dyDescent="0.25">
      <c r="A9" s="6"/>
      <c r="B9" s="6"/>
      <c r="C9" s="6"/>
      <c r="D9" s="6"/>
      <c r="E9" s="6"/>
      <c r="F9" s="6"/>
      <c r="G9" s="6"/>
      <c r="H9" s="6"/>
      <c r="I9" s="6"/>
      <c r="J9" s="6"/>
      <c r="K9" s="6"/>
      <c r="L9" s="6"/>
      <c r="M9" s="6"/>
      <c r="N9" s="6"/>
    </row>
    <row r="10" spans="1:18" ht="14.4" x14ac:dyDescent="0.25">
      <c r="A10" s="5"/>
      <c r="B10" s="5"/>
      <c r="C10" s="6"/>
      <c r="D10" s="6"/>
      <c r="E10" s="6"/>
      <c r="F10" s="6"/>
      <c r="G10" s="6"/>
      <c r="H10" s="6"/>
      <c r="I10" s="6"/>
      <c r="J10" s="6"/>
      <c r="K10" s="6"/>
      <c r="L10" s="6"/>
      <c r="M10" s="6"/>
      <c r="N10" s="6"/>
    </row>
    <row r="11" spans="1:18" x14ac:dyDescent="0.25">
      <c r="A11" s="6"/>
      <c r="B11" s="6"/>
      <c r="C11" s="6"/>
      <c r="D11" s="6"/>
      <c r="E11" s="6"/>
      <c r="F11" s="6"/>
      <c r="G11" s="6"/>
      <c r="H11" s="6"/>
      <c r="I11" s="6"/>
      <c r="J11" s="6"/>
      <c r="K11" s="6"/>
      <c r="L11" s="6"/>
      <c r="M11" s="6"/>
      <c r="N11" s="6"/>
    </row>
    <row r="12" spans="1:18" x14ac:dyDescent="0.25">
      <c r="A12" s="6"/>
      <c r="B12" s="6"/>
      <c r="C12" s="6"/>
      <c r="D12" s="6"/>
      <c r="E12" s="6"/>
      <c r="F12" s="6"/>
      <c r="G12" s="6"/>
      <c r="H12" s="6"/>
      <c r="I12" s="6"/>
      <c r="J12" s="6"/>
      <c r="K12" s="6"/>
      <c r="L12" s="6"/>
      <c r="M12" s="6"/>
      <c r="N12" s="6"/>
    </row>
    <row r="13" spans="1:18" x14ac:dyDescent="0.25">
      <c r="A13" s="6"/>
      <c r="B13" s="6"/>
      <c r="C13" s="6"/>
      <c r="D13" s="6"/>
      <c r="E13" s="6"/>
      <c r="F13" s="6"/>
      <c r="G13" s="6"/>
      <c r="H13" s="6"/>
      <c r="I13" s="6"/>
      <c r="J13" s="6"/>
      <c r="K13" s="6"/>
      <c r="L13" s="6"/>
      <c r="M13" s="6"/>
      <c r="N13" s="6"/>
    </row>
    <row r="14" spans="1:18" x14ac:dyDescent="0.25">
      <c r="A14" s="6"/>
      <c r="B14" s="6"/>
      <c r="C14" s="6"/>
      <c r="D14" s="6"/>
      <c r="E14" s="6"/>
      <c r="F14" s="6"/>
      <c r="G14" s="6"/>
      <c r="H14" s="6"/>
      <c r="I14" s="6"/>
      <c r="J14" s="6"/>
      <c r="K14" s="6"/>
      <c r="L14" s="6"/>
      <c r="M14" s="6"/>
      <c r="N14" s="6"/>
    </row>
    <row r="15" spans="1:18" x14ac:dyDescent="0.25">
      <c r="A15" s="6"/>
      <c r="B15" s="6"/>
      <c r="C15" s="6"/>
      <c r="D15" s="6"/>
      <c r="E15" s="6"/>
      <c r="F15" s="6"/>
      <c r="G15" s="6"/>
      <c r="H15" s="6"/>
      <c r="I15" s="6"/>
      <c r="J15" s="6"/>
      <c r="K15" s="6"/>
      <c r="L15" s="6"/>
      <c r="M15" s="6"/>
      <c r="N15" s="6"/>
    </row>
    <row r="16" spans="1:18" x14ac:dyDescent="0.25">
      <c r="A16" s="6"/>
      <c r="B16" s="6"/>
      <c r="C16" s="6"/>
      <c r="D16" s="6"/>
      <c r="E16" s="6"/>
      <c r="F16" s="6"/>
      <c r="G16" s="6"/>
      <c r="H16" s="6"/>
      <c r="I16" s="6"/>
      <c r="J16" s="6"/>
      <c r="K16" s="6"/>
      <c r="L16" s="6"/>
      <c r="M16" s="6"/>
      <c r="N16" s="6"/>
    </row>
    <row r="17" spans="1:14" x14ac:dyDescent="0.25">
      <c r="A17" s="6"/>
      <c r="B17" s="6"/>
      <c r="C17" s="6"/>
      <c r="D17" s="6"/>
      <c r="E17" s="6"/>
      <c r="F17" s="6"/>
      <c r="G17" s="6"/>
      <c r="H17" s="6"/>
      <c r="I17" s="6"/>
      <c r="J17" s="6"/>
      <c r="K17" s="6"/>
      <c r="L17" s="6"/>
      <c r="M17" s="6"/>
      <c r="N17" s="6"/>
    </row>
    <row r="18" spans="1:14" x14ac:dyDescent="0.25">
      <c r="A18" s="6"/>
      <c r="B18" s="6"/>
      <c r="C18" s="6"/>
      <c r="D18" s="6"/>
      <c r="E18" s="6"/>
      <c r="F18" s="6"/>
      <c r="G18" s="6"/>
      <c r="H18" s="6"/>
      <c r="I18" s="6"/>
      <c r="J18" s="6"/>
      <c r="K18" s="6"/>
      <c r="L18" s="6"/>
      <c r="M18" s="6"/>
      <c r="N18" s="6"/>
    </row>
    <row r="19" spans="1:14" x14ac:dyDescent="0.25">
      <c r="A19" s="6"/>
      <c r="B19" s="6"/>
      <c r="C19" s="6"/>
      <c r="D19" s="6"/>
      <c r="E19" s="6"/>
      <c r="F19" s="6"/>
      <c r="G19" s="6"/>
      <c r="H19" s="6"/>
      <c r="I19" s="6"/>
      <c r="J19" s="6"/>
      <c r="K19" s="6"/>
      <c r="L19" s="6"/>
      <c r="M19" s="6"/>
      <c r="N19" s="6"/>
    </row>
    <row r="20" spans="1:14" x14ac:dyDescent="0.25">
      <c r="A20" s="6"/>
      <c r="B20" s="6"/>
      <c r="C20" s="6"/>
      <c r="D20" s="6"/>
      <c r="E20" s="6"/>
      <c r="F20" s="6"/>
      <c r="G20" s="6"/>
      <c r="H20" s="6"/>
      <c r="I20" s="6"/>
      <c r="J20" s="6"/>
      <c r="K20" s="6"/>
      <c r="L20" s="6"/>
      <c r="M20" s="6"/>
      <c r="N20" s="6"/>
    </row>
    <row r="21" spans="1:14" x14ac:dyDescent="0.25">
      <c r="A21" s="6"/>
      <c r="B21" s="6"/>
      <c r="C21" s="6"/>
      <c r="D21" s="6"/>
      <c r="E21" s="6"/>
      <c r="F21" s="6"/>
      <c r="G21" s="6"/>
      <c r="H21" s="6"/>
      <c r="I21" s="6"/>
      <c r="J21" s="6"/>
      <c r="K21" s="6"/>
      <c r="L21" s="6"/>
      <c r="M21" s="6"/>
      <c r="N21" s="6"/>
    </row>
    <row r="22" spans="1:14" x14ac:dyDescent="0.25">
      <c r="A22" s="6"/>
      <c r="B22" s="6"/>
      <c r="C22" s="6"/>
      <c r="D22" s="6"/>
      <c r="E22" s="6"/>
      <c r="F22" s="6"/>
      <c r="G22" s="6"/>
      <c r="H22" s="6"/>
      <c r="I22" s="6"/>
      <c r="J22" s="6"/>
      <c r="K22" s="6"/>
      <c r="L22" s="6"/>
      <c r="M22" s="6"/>
      <c r="N22" s="6"/>
    </row>
    <row r="23" spans="1:14" x14ac:dyDescent="0.25">
      <c r="A23" s="6"/>
      <c r="B23" s="6"/>
      <c r="C23" s="6"/>
      <c r="D23" s="6"/>
      <c r="E23" s="6"/>
      <c r="F23" s="6"/>
      <c r="G23" s="6"/>
      <c r="H23" s="6"/>
      <c r="I23" s="6"/>
      <c r="J23" s="6"/>
      <c r="K23" s="6"/>
      <c r="L23" s="6"/>
      <c r="M23" s="6"/>
      <c r="N23" s="6"/>
    </row>
    <row r="24" spans="1:14" x14ac:dyDescent="0.25">
      <c r="A24" s="6"/>
      <c r="B24" s="6"/>
      <c r="C24" s="6"/>
      <c r="D24" s="6"/>
      <c r="E24" s="6"/>
      <c r="F24" s="6"/>
      <c r="G24" s="6"/>
      <c r="H24" s="6"/>
      <c r="I24" s="6"/>
      <c r="J24" s="6"/>
      <c r="K24" s="6"/>
      <c r="L24" s="6"/>
      <c r="M24" s="6"/>
      <c r="N24" s="6"/>
    </row>
    <row r="25" spans="1:14" x14ac:dyDescent="0.25">
      <c r="A25" s="6"/>
      <c r="B25" s="6"/>
      <c r="C25" s="6"/>
      <c r="D25" s="6"/>
      <c r="E25" s="6"/>
      <c r="F25" s="6"/>
      <c r="G25" s="6"/>
      <c r="H25" s="6"/>
      <c r="I25" s="6"/>
      <c r="J25" s="6"/>
      <c r="K25" s="6"/>
      <c r="L25" s="6"/>
      <c r="M25" s="6"/>
      <c r="N25" s="6"/>
    </row>
    <row r="26" spans="1:14" x14ac:dyDescent="0.25">
      <c r="A26" s="6"/>
      <c r="B26" s="6"/>
      <c r="C26" s="6"/>
      <c r="D26" s="6"/>
      <c r="E26" s="6"/>
      <c r="F26" s="6"/>
      <c r="G26" s="6"/>
      <c r="H26" s="6"/>
      <c r="I26" s="6"/>
      <c r="J26" s="6"/>
      <c r="K26" s="6"/>
      <c r="L26" s="6"/>
      <c r="M26" s="6"/>
      <c r="N26" s="6"/>
    </row>
    <row r="27" spans="1:14" x14ac:dyDescent="0.25">
      <c r="A27" s="6"/>
      <c r="B27" s="6"/>
      <c r="C27" s="6"/>
      <c r="D27" s="6"/>
      <c r="E27" s="6"/>
      <c r="F27" s="6"/>
      <c r="G27" s="6"/>
      <c r="H27" s="6"/>
      <c r="I27" s="6"/>
      <c r="J27" s="6"/>
      <c r="K27" s="6"/>
      <c r="L27" s="6"/>
      <c r="M27" s="6"/>
      <c r="N27" s="6"/>
    </row>
    <row r="28" spans="1:14" x14ac:dyDescent="0.25">
      <c r="A28" s="6"/>
      <c r="B28" s="6"/>
      <c r="C28" s="6"/>
      <c r="D28" s="6"/>
      <c r="E28" s="6"/>
      <c r="F28" s="6"/>
      <c r="G28" s="6"/>
      <c r="H28" s="6"/>
      <c r="I28" s="6"/>
      <c r="J28" s="6"/>
      <c r="K28" s="6"/>
      <c r="L28" s="6"/>
      <c r="M28" s="6"/>
      <c r="N28" s="6"/>
    </row>
    <row r="29" spans="1:14" x14ac:dyDescent="0.25">
      <c r="A29" s="6"/>
      <c r="B29" s="6"/>
      <c r="C29" s="6"/>
      <c r="D29" s="6"/>
      <c r="E29" s="6"/>
      <c r="F29" s="6"/>
      <c r="G29" s="6"/>
      <c r="H29" s="6"/>
      <c r="I29" s="6"/>
      <c r="J29" s="6"/>
      <c r="K29" s="6"/>
      <c r="L29" s="6"/>
      <c r="M29" s="6"/>
      <c r="N29" s="6"/>
    </row>
    <row r="30" spans="1:14" x14ac:dyDescent="0.25">
      <c r="A30" s="6"/>
      <c r="B30" s="6"/>
      <c r="C30" s="6"/>
      <c r="D30" s="6"/>
      <c r="E30" s="6"/>
      <c r="F30" s="6"/>
      <c r="G30" s="6"/>
      <c r="H30" s="6"/>
      <c r="I30" s="6"/>
      <c r="J30" s="6"/>
      <c r="K30" s="6"/>
      <c r="L30" s="6"/>
      <c r="M30" s="6"/>
      <c r="N30" s="6"/>
    </row>
    <row r="31" spans="1:14" x14ac:dyDescent="0.25">
      <c r="A31" s="6"/>
      <c r="B31" s="6"/>
      <c r="C31" s="6"/>
      <c r="D31" s="6"/>
      <c r="E31" s="6"/>
      <c r="F31" s="6"/>
      <c r="G31" s="6"/>
      <c r="H31" s="6"/>
      <c r="I31" s="6"/>
      <c r="J31" s="6"/>
      <c r="K31" s="6"/>
      <c r="L31" s="6"/>
      <c r="M31" s="6"/>
      <c r="N31" s="6"/>
    </row>
    <row r="32" spans="1:14" x14ac:dyDescent="0.25">
      <c r="A32" s="6"/>
      <c r="B32" s="6"/>
      <c r="C32" s="6"/>
      <c r="D32" s="6"/>
      <c r="E32" s="6"/>
      <c r="F32" s="6"/>
      <c r="G32" s="6"/>
      <c r="H32" s="6"/>
      <c r="I32" s="6"/>
      <c r="J32" s="6"/>
      <c r="K32" s="6"/>
      <c r="L32" s="6"/>
      <c r="M32" s="6"/>
      <c r="N32" s="6"/>
    </row>
    <row r="33" spans="1:14" x14ac:dyDescent="0.25">
      <c r="A33" s="6"/>
      <c r="B33" s="6"/>
      <c r="C33" s="6"/>
      <c r="D33" s="6"/>
      <c r="E33" s="6"/>
      <c r="F33" s="6"/>
      <c r="G33" s="6"/>
      <c r="H33" s="6"/>
      <c r="I33" s="6"/>
      <c r="J33" s="6"/>
      <c r="K33" s="6"/>
      <c r="L33" s="6"/>
      <c r="M33" s="6"/>
      <c r="N33" s="6"/>
    </row>
    <row r="34" spans="1:14" x14ac:dyDescent="0.25">
      <c r="A34" s="6"/>
      <c r="B34" s="6"/>
      <c r="C34" s="6"/>
      <c r="D34" s="6"/>
      <c r="E34" s="6"/>
      <c r="F34" s="6"/>
      <c r="G34" s="6"/>
      <c r="H34" s="6"/>
      <c r="I34" s="6"/>
      <c r="J34" s="6"/>
      <c r="K34" s="6"/>
      <c r="L34" s="6"/>
      <c r="M34" s="6"/>
      <c r="N34" s="6"/>
    </row>
    <row r="35" spans="1:14" x14ac:dyDescent="0.25">
      <c r="A35" s="6"/>
      <c r="B35" s="6"/>
      <c r="C35" s="6"/>
      <c r="D35" s="6"/>
      <c r="E35" s="6"/>
      <c r="F35" s="6"/>
      <c r="G35" s="6"/>
      <c r="H35" s="6"/>
      <c r="I35" s="6"/>
      <c r="J35" s="6"/>
      <c r="K35" s="6"/>
      <c r="L35" s="6"/>
      <c r="M35" s="6"/>
      <c r="N35" s="6"/>
    </row>
    <row r="36" spans="1:14" x14ac:dyDescent="0.25">
      <c r="A36" s="6"/>
      <c r="B36" s="6"/>
      <c r="C36" s="6"/>
      <c r="D36" s="6"/>
      <c r="E36" s="6"/>
      <c r="F36" s="6"/>
      <c r="G36" s="6"/>
      <c r="H36" s="6"/>
      <c r="I36" s="6"/>
      <c r="J36" s="6"/>
      <c r="K36" s="6"/>
      <c r="L36" s="6"/>
      <c r="M36" s="6"/>
      <c r="N36" s="6"/>
    </row>
    <row r="37" spans="1:14" x14ac:dyDescent="0.25">
      <c r="A37" s="6"/>
      <c r="B37" s="6"/>
      <c r="C37" s="6"/>
      <c r="D37" s="6"/>
      <c r="E37" s="6"/>
      <c r="F37" s="6"/>
      <c r="G37" s="6"/>
      <c r="H37" s="6"/>
      <c r="I37" s="6"/>
      <c r="J37" s="6"/>
      <c r="K37" s="6"/>
      <c r="L37" s="6"/>
      <c r="M37" s="6"/>
      <c r="N37" s="6"/>
    </row>
    <row r="38" spans="1:14" x14ac:dyDescent="0.25">
      <c r="A38" s="6"/>
      <c r="B38" s="6"/>
      <c r="C38" s="6"/>
      <c r="D38" s="6"/>
      <c r="E38" s="6"/>
      <c r="F38" s="6"/>
      <c r="G38" s="6"/>
      <c r="H38" s="6"/>
      <c r="I38" s="6"/>
      <c r="J38" s="6"/>
      <c r="K38" s="6"/>
      <c r="L38" s="6"/>
      <c r="M38" s="6"/>
      <c r="N38" s="6"/>
    </row>
    <row r="39" spans="1:14" x14ac:dyDescent="0.25">
      <c r="A39" s="6"/>
      <c r="B39" s="6"/>
      <c r="C39" s="6"/>
      <c r="D39" s="6"/>
      <c r="E39" s="6"/>
      <c r="F39" s="6"/>
      <c r="G39" s="6"/>
      <c r="H39" s="6"/>
      <c r="I39" s="6"/>
      <c r="J39" s="6"/>
      <c r="K39" s="6"/>
      <c r="L39" s="6"/>
      <c r="M39" s="6"/>
      <c r="N39" s="6"/>
    </row>
    <row r="40" spans="1:14" x14ac:dyDescent="0.25">
      <c r="A40" s="6"/>
      <c r="B40" s="6"/>
      <c r="C40" s="6"/>
      <c r="D40" s="6"/>
      <c r="E40" s="6"/>
      <c r="F40" s="6"/>
      <c r="G40" s="6"/>
      <c r="H40" s="6"/>
      <c r="I40" s="6"/>
      <c r="J40" s="6"/>
      <c r="K40" s="6"/>
      <c r="L40" s="6"/>
      <c r="M40" s="6"/>
      <c r="N40" s="6"/>
    </row>
    <row r="41" spans="1:14" x14ac:dyDescent="0.25">
      <c r="A41" s="6"/>
      <c r="B41" s="6"/>
      <c r="C41" s="6"/>
      <c r="D41" s="6"/>
      <c r="E41" s="6"/>
      <c r="F41" s="6"/>
      <c r="G41" s="6"/>
      <c r="H41" s="6"/>
      <c r="I41" s="6"/>
      <c r="J41" s="6"/>
      <c r="K41" s="6"/>
      <c r="L41" s="6"/>
      <c r="M41" s="6"/>
      <c r="N41" s="6"/>
    </row>
    <row r="42" spans="1:14" x14ac:dyDescent="0.25">
      <c r="A42" s="6"/>
      <c r="B42" s="6"/>
      <c r="C42" s="6"/>
      <c r="D42" s="6"/>
      <c r="E42" s="6"/>
      <c r="F42" s="6"/>
      <c r="G42" s="6"/>
      <c r="H42" s="6"/>
      <c r="I42" s="6"/>
      <c r="J42" s="6"/>
      <c r="K42" s="6"/>
      <c r="L42" s="6"/>
      <c r="M42" s="6"/>
      <c r="N42" s="6"/>
    </row>
    <row r="43" spans="1:14" x14ac:dyDescent="0.25">
      <c r="A43" s="6"/>
      <c r="B43" s="6"/>
      <c r="C43" s="6"/>
      <c r="D43" s="6"/>
      <c r="E43" s="6"/>
      <c r="F43" s="6"/>
      <c r="G43" s="6"/>
      <c r="H43" s="6"/>
      <c r="I43" s="6"/>
      <c r="J43" s="6"/>
      <c r="K43" s="6"/>
      <c r="L43" s="6"/>
      <c r="M43" s="6"/>
      <c r="N43" s="6"/>
    </row>
    <row r="44" spans="1:14" x14ac:dyDescent="0.25">
      <c r="A44" s="6"/>
      <c r="B44" s="6"/>
      <c r="C44" s="6"/>
      <c r="D44" s="6"/>
      <c r="E44" s="6"/>
      <c r="F44" s="6"/>
      <c r="G44" s="6"/>
      <c r="H44" s="6"/>
      <c r="I44" s="6"/>
      <c r="J44" s="6"/>
      <c r="K44" s="6"/>
      <c r="L44" s="6"/>
      <c r="M44" s="6"/>
      <c r="N44" s="6"/>
    </row>
    <row r="45" spans="1:14" x14ac:dyDescent="0.25">
      <c r="A45" s="6"/>
      <c r="B45" s="6"/>
      <c r="C45" s="6"/>
      <c r="D45" s="6"/>
      <c r="E45" s="6"/>
      <c r="F45" s="6"/>
      <c r="G45" s="6"/>
      <c r="H45" s="6"/>
      <c r="I45" s="6"/>
      <c r="J45" s="6"/>
      <c r="K45" s="6"/>
      <c r="L45" s="6"/>
      <c r="M45" s="6"/>
      <c r="N45" s="6"/>
    </row>
    <row r="46" spans="1:14" x14ac:dyDescent="0.25">
      <c r="A46" s="6"/>
      <c r="B46" s="6"/>
      <c r="C46" s="6"/>
      <c r="D46" s="6"/>
      <c r="E46" s="6"/>
      <c r="F46" s="6"/>
      <c r="G46" s="6"/>
      <c r="H46" s="6"/>
      <c r="I46" s="6"/>
      <c r="J46" s="6"/>
      <c r="K46" s="6"/>
      <c r="L46" s="6"/>
      <c r="M46" s="6"/>
      <c r="N46" s="6"/>
    </row>
    <row r="47" spans="1:14" x14ac:dyDescent="0.25">
      <c r="A47" s="6"/>
      <c r="B47" s="6"/>
      <c r="C47" s="6"/>
      <c r="D47" s="6"/>
      <c r="E47" s="6"/>
      <c r="F47" s="6"/>
      <c r="G47" s="6"/>
      <c r="H47" s="6"/>
      <c r="I47" s="6"/>
      <c r="J47" s="6"/>
      <c r="K47" s="6"/>
      <c r="L47" s="6"/>
      <c r="M47" s="6"/>
      <c r="N47" s="6"/>
    </row>
    <row r="48" spans="1:14" x14ac:dyDescent="0.25">
      <c r="A48" s="6"/>
      <c r="B48" s="6"/>
      <c r="C48" s="6"/>
      <c r="D48" s="6"/>
      <c r="E48" s="6"/>
      <c r="F48" s="6"/>
      <c r="G48" s="6"/>
      <c r="H48" s="6"/>
      <c r="I48" s="6"/>
      <c r="J48" s="6"/>
      <c r="K48" s="6"/>
      <c r="L48" s="6"/>
      <c r="M48" s="6"/>
      <c r="N48" s="6"/>
    </row>
    <row r="49" spans="1:14" x14ac:dyDescent="0.25">
      <c r="A49" s="6"/>
      <c r="B49" s="6"/>
      <c r="C49" s="6"/>
      <c r="D49" s="6"/>
      <c r="E49" s="6"/>
      <c r="F49" s="6"/>
      <c r="G49" s="6"/>
      <c r="H49" s="6"/>
      <c r="I49" s="6"/>
      <c r="J49" s="6"/>
      <c r="K49" s="6"/>
      <c r="L49" s="6"/>
      <c r="M49" s="6"/>
      <c r="N49" s="6"/>
    </row>
    <row r="50" spans="1:14" x14ac:dyDescent="0.25">
      <c r="A50" s="6"/>
      <c r="B50" s="6"/>
      <c r="C50" s="6"/>
      <c r="D50" s="6"/>
      <c r="E50" s="6"/>
      <c r="F50" s="6"/>
      <c r="G50" s="6"/>
      <c r="H50" s="6"/>
      <c r="I50" s="6"/>
      <c r="J50" s="6"/>
      <c r="K50" s="6"/>
      <c r="L50" s="6"/>
      <c r="M50" s="6"/>
      <c r="N50" s="6"/>
    </row>
    <row r="51" spans="1:14" x14ac:dyDescent="0.25">
      <c r="A51" s="6"/>
      <c r="B51" s="6"/>
      <c r="C51" s="6"/>
      <c r="D51" s="6"/>
      <c r="E51" s="6"/>
      <c r="F51" s="6"/>
      <c r="G51" s="6"/>
      <c r="H51" s="6"/>
      <c r="I51" s="6"/>
      <c r="J51" s="6"/>
      <c r="K51" s="6"/>
      <c r="L51" s="6"/>
      <c r="M51" s="6"/>
      <c r="N51" s="6"/>
    </row>
    <row r="52" spans="1:14" x14ac:dyDescent="0.25">
      <c r="A52" s="6"/>
      <c r="B52" s="6"/>
      <c r="C52" s="6"/>
      <c r="D52" s="6"/>
      <c r="E52" s="6"/>
      <c r="F52" s="6"/>
      <c r="G52" s="6"/>
      <c r="H52" s="6"/>
      <c r="I52" s="6"/>
      <c r="J52" s="6"/>
      <c r="K52" s="6"/>
      <c r="L52" s="6"/>
      <c r="M52" s="6"/>
      <c r="N52" s="6"/>
    </row>
    <row r="53" spans="1:14" x14ac:dyDescent="0.25">
      <c r="A53" s="6"/>
      <c r="B53" s="6"/>
      <c r="C53" s="6"/>
      <c r="D53" s="6"/>
      <c r="E53" s="6"/>
      <c r="F53" s="6"/>
      <c r="G53" s="6"/>
      <c r="H53" s="6"/>
      <c r="I53" s="6"/>
      <c r="J53" s="6"/>
      <c r="K53" s="6"/>
      <c r="L53" s="6"/>
      <c r="M53" s="6"/>
      <c r="N53" s="6"/>
    </row>
    <row r="54" spans="1:14" x14ac:dyDescent="0.25">
      <c r="A54" s="6"/>
      <c r="B54" s="6"/>
      <c r="C54" s="6"/>
      <c r="D54" s="6"/>
      <c r="E54" s="6"/>
      <c r="F54" s="6"/>
      <c r="G54" s="6"/>
      <c r="H54" s="6"/>
      <c r="I54" s="6"/>
      <c r="J54" s="6"/>
      <c r="K54" s="6"/>
      <c r="L54" s="6"/>
      <c r="M54" s="6"/>
      <c r="N54" s="6"/>
    </row>
    <row r="55" spans="1:14" x14ac:dyDescent="0.25">
      <c r="A55" s="6"/>
      <c r="B55" s="6"/>
      <c r="C55" s="6"/>
      <c r="D55" s="6"/>
      <c r="E55" s="6"/>
      <c r="F55" s="6"/>
      <c r="G55" s="6"/>
      <c r="H55" s="6"/>
      <c r="I55" s="6"/>
      <c r="J55" s="6"/>
      <c r="K55" s="6"/>
      <c r="L55" s="6"/>
      <c r="M55" s="6"/>
      <c r="N55" s="6"/>
    </row>
    <row r="56" spans="1:14" x14ac:dyDescent="0.25">
      <c r="A56" s="6"/>
      <c r="B56" s="6"/>
      <c r="C56" s="6"/>
      <c r="D56" s="6"/>
      <c r="E56" s="6"/>
      <c r="F56" s="6"/>
      <c r="G56" s="6"/>
      <c r="H56" s="6"/>
      <c r="I56" s="6"/>
      <c r="J56" s="6"/>
      <c r="K56" s="6"/>
      <c r="L56" s="6"/>
      <c r="M56" s="6"/>
      <c r="N56" s="6"/>
    </row>
    <row r="57" spans="1:14" x14ac:dyDescent="0.25">
      <c r="A57" s="6"/>
      <c r="B57" s="6"/>
      <c r="C57" s="6"/>
      <c r="D57" s="6"/>
      <c r="E57" s="6"/>
      <c r="F57" s="6"/>
      <c r="G57" s="6"/>
      <c r="H57" s="6"/>
      <c r="I57" s="6"/>
      <c r="J57" s="6"/>
      <c r="K57" s="6"/>
      <c r="L57" s="6"/>
      <c r="M57" s="6"/>
      <c r="N57" s="6"/>
    </row>
    <row r="58" spans="1:14" x14ac:dyDescent="0.25">
      <c r="A58" s="6"/>
      <c r="B58" s="6"/>
      <c r="C58" s="6"/>
      <c r="D58" s="6"/>
      <c r="E58" s="6"/>
      <c r="F58" s="6"/>
      <c r="G58" s="6"/>
      <c r="H58" s="6"/>
      <c r="I58" s="6"/>
      <c r="J58" s="6"/>
      <c r="K58" s="6"/>
      <c r="L58" s="6"/>
      <c r="M58" s="6"/>
      <c r="N58" s="6"/>
    </row>
    <row r="59" spans="1:14" x14ac:dyDescent="0.25">
      <c r="A59" s="6"/>
      <c r="B59" s="6"/>
      <c r="C59" s="6"/>
      <c r="D59" s="6"/>
      <c r="E59" s="6"/>
      <c r="F59" s="6"/>
      <c r="G59" s="6"/>
      <c r="H59" s="6"/>
      <c r="I59" s="6"/>
      <c r="J59" s="6"/>
      <c r="K59" s="6"/>
      <c r="L59" s="6"/>
      <c r="M59" s="6"/>
      <c r="N59" s="6"/>
    </row>
    <row r="60" spans="1:14" x14ac:dyDescent="0.25">
      <c r="A60" s="6"/>
      <c r="B60" s="6"/>
      <c r="C60" s="6"/>
      <c r="D60" s="6"/>
      <c r="E60" s="6"/>
      <c r="F60" s="6"/>
      <c r="G60" s="6"/>
      <c r="H60" s="6"/>
      <c r="I60" s="6"/>
      <c r="J60" s="6"/>
      <c r="K60" s="6"/>
      <c r="L60" s="6"/>
      <c r="M60" s="6"/>
      <c r="N60" s="6"/>
    </row>
    <row r="61" spans="1:14" x14ac:dyDescent="0.25">
      <c r="A61" s="6"/>
      <c r="B61" s="6"/>
      <c r="C61" s="6"/>
      <c r="D61" s="6"/>
      <c r="E61" s="6"/>
      <c r="F61" s="6"/>
      <c r="G61" s="6"/>
      <c r="H61" s="6"/>
      <c r="I61" s="6"/>
      <c r="J61" s="6"/>
      <c r="K61" s="6"/>
      <c r="L61" s="6"/>
      <c r="M61" s="6"/>
      <c r="N61" s="6"/>
    </row>
    <row r="62" spans="1:14" x14ac:dyDescent="0.25">
      <c r="A62" s="6"/>
      <c r="B62" s="6"/>
      <c r="C62" s="6"/>
      <c r="D62" s="6"/>
      <c r="E62" s="6"/>
      <c r="F62" s="6"/>
      <c r="G62" s="6"/>
      <c r="H62" s="6"/>
      <c r="I62" s="6"/>
      <c r="J62" s="6"/>
      <c r="K62" s="6"/>
      <c r="L62" s="6"/>
      <c r="M62" s="6"/>
      <c r="N62" s="6"/>
    </row>
    <row r="63" spans="1:14" x14ac:dyDescent="0.25">
      <c r="A63" s="6"/>
      <c r="B63" s="6"/>
      <c r="C63" s="6"/>
      <c r="D63" s="6"/>
      <c r="E63" s="6"/>
      <c r="F63" s="6"/>
      <c r="G63" s="6"/>
      <c r="H63" s="6"/>
      <c r="I63" s="6"/>
      <c r="J63" s="6"/>
      <c r="K63" s="6"/>
      <c r="L63" s="6"/>
      <c r="M63" s="6"/>
      <c r="N63" s="6"/>
    </row>
    <row r="64" spans="1:14" x14ac:dyDescent="0.25">
      <c r="A64" s="6"/>
      <c r="B64" s="6"/>
      <c r="C64" s="6"/>
      <c r="D64" s="6"/>
      <c r="E64" s="6"/>
      <c r="F64" s="6"/>
      <c r="G64" s="6"/>
      <c r="H64" s="6"/>
      <c r="I64" s="6"/>
      <c r="J64" s="6"/>
      <c r="K64" s="6"/>
      <c r="L64" s="6"/>
      <c r="M64" s="6"/>
      <c r="N64" s="6"/>
    </row>
    <row r="65" spans="1:14" x14ac:dyDescent="0.25">
      <c r="A65" s="6"/>
      <c r="B65" s="6"/>
      <c r="C65" s="6"/>
      <c r="D65" s="6"/>
      <c r="E65" s="6"/>
      <c r="F65" s="6"/>
      <c r="G65" s="6"/>
      <c r="H65" s="6"/>
      <c r="I65" s="6"/>
      <c r="J65" s="6"/>
      <c r="K65" s="6"/>
      <c r="L65" s="6"/>
      <c r="M65" s="6"/>
      <c r="N65" s="6"/>
    </row>
    <row r="66" spans="1:14" x14ac:dyDescent="0.25">
      <c r="A66" s="6"/>
      <c r="B66" s="6"/>
      <c r="C66" s="6"/>
      <c r="D66" s="6"/>
      <c r="E66" s="6"/>
      <c r="F66" s="6"/>
      <c r="G66" s="6"/>
      <c r="H66" s="6"/>
      <c r="I66" s="6"/>
      <c r="J66" s="6"/>
      <c r="K66" s="6"/>
      <c r="L66" s="6"/>
      <c r="M66" s="6"/>
      <c r="N66" s="6"/>
    </row>
    <row r="67" spans="1:14" x14ac:dyDescent="0.25">
      <c r="A67" s="6"/>
      <c r="B67" s="6"/>
      <c r="C67" s="6"/>
      <c r="D67" s="6"/>
      <c r="E67" s="6"/>
      <c r="F67" s="6"/>
      <c r="G67" s="6"/>
      <c r="H67" s="6"/>
      <c r="I67" s="6"/>
      <c r="J67" s="6"/>
      <c r="K67" s="6"/>
      <c r="L67" s="6"/>
      <c r="M67" s="6"/>
      <c r="N67" s="6"/>
    </row>
    <row r="68" spans="1:14" x14ac:dyDescent="0.25">
      <c r="A68" s="6"/>
      <c r="B68" s="6"/>
      <c r="C68" s="6"/>
      <c r="D68" s="6"/>
      <c r="E68" s="6"/>
      <c r="F68" s="6"/>
      <c r="G68" s="6"/>
      <c r="H68" s="6"/>
      <c r="I68" s="6"/>
      <c r="J68" s="6"/>
      <c r="K68" s="6"/>
      <c r="L68" s="6"/>
      <c r="M68" s="6"/>
      <c r="N68" s="6"/>
    </row>
    <row r="69" spans="1:14" x14ac:dyDescent="0.25">
      <c r="A69" s="6"/>
      <c r="B69" s="6"/>
      <c r="C69" s="6"/>
      <c r="D69" s="6"/>
      <c r="E69" s="6"/>
      <c r="F69" s="6"/>
      <c r="G69" s="6"/>
      <c r="H69" s="6"/>
      <c r="I69" s="6"/>
      <c r="J69" s="6"/>
      <c r="K69" s="6"/>
      <c r="L69" s="6"/>
      <c r="M69" s="6"/>
      <c r="N69" s="6"/>
    </row>
    <row r="70" spans="1:14" x14ac:dyDescent="0.25">
      <c r="A70" s="6"/>
      <c r="B70" s="6"/>
      <c r="C70" s="6"/>
      <c r="D70" s="6"/>
      <c r="E70" s="6"/>
      <c r="F70" s="6"/>
      <c r="G70" s="6"/>
      <c r="H70" s="6"/>
      <c r="I70" s="6"/>
      <c r="J70" s="6"/>
      <c r="K70" s="6"/>
      <c r="L70" s="6"/>
      <c r="M70" s="6"/>
      <c r="N70" s="6"/>
    </row>
    <row r="71" spans="1:14" x14ac:dyDescent="0.25">
      <c r="A71" s="6"/>
      <c r="B71" s="6"/>
      <c r="C71" s="6"/>
      <c r="D71" s="6"/>
      <c r="E71" s="6"/>
      <c r="F71" s="6"/>
      <c r="G71" s="6"/>
      <c r="H71" s="6"/>
      <c r="I71" s="6"/>
      <c r="J71" s="6"/>
      <c r="K71" s="6"/>
      <c r="L71" s="6"/>
      <c r="M71" s="6"/>
      <c r="N71" s="6"/>
    </row>
    <row r="72" spans="1:14" x14ac:dyDescent="0.25">
      <c r="A72" s="6"/>
      <c r="B72" s="6"/>
      <c r="C72" s="6"/>
      <c r="D72" s="6"/>
      <c r="E72" s="6"/>
      <c r="F72" s="6"/>
      <c r="G72" s="6"/>
      <c r="H72" s="6"/>
      <c r="I72" s="6"/>
      <c r="J72" s="6"/>
      <c r="K72" s="6"/>
      <c r="L72" s="6"/>
      <c r="M72" s="6"/>
      <c r="N72" s="6"/>
    </row>
    <row r="73" spans="1:14" x14ac:dyDescent="0.25">
      <c r="A73" s="6"/>
      <c r="B73" s="6"/>
      <c r="C73" s="6"/>
      <c r="D73" s="6"/>
      <c r="E73" s="6"/>
      <c r="F73" s="6"/>
      <c r="G73" s="6"/>
      <c r="H73" s="6"/>
      <c r="I73" s="6"/>
      <c r="J73" s="6"/>
      <c r="K73" s="6"/>
      <c r="L73" s="6"/>
      <c r="M73" s="6"/>
      <c r="N73" s="6"/>
    </row>
    <row r="74" spans="1:14" x14ac:dyDescent="0.25">
      <c r="A74" s="6"/>
      <c r="B74" s="6"/>
      <c r="C74" s="6"/>
      <c r="D74" s="6"/>
      <c r="E74" s="6"/>
      <c r="F74" s="6"/>
      <c r="G74" s="6"/>
      <c r="H74" s="6"/>
      <c r="I74" s="6"/>
      <c r="J74" s="6"/>
      <c r="K74" s="6"/>
      <c r="L74" s="6"/>
      <c r="M74" s="6"/>
      <c r="N74" s="6"/>
    </row>
    <row r="75" spans="1:14" x14ac:dyDescent="0.25">
      <c r="A75" s="6"/>
      <c r="B75" s="6"/>
      <c r="C75" s="6"/>
      <c r="D75" s="6"/>
      <c r="E75" s="6"/>
      <c r="F75" s="6"/>
      <c r="G75" s="6"/>
      <c r="H75" s="6"/>
      <c r="I75" s="6"/>
      <c r="J75" s="6"/>
      <c r="K75" s="6"/>
      <c r="L75" s="6"/>
      <c r="M75" s="6"/>
      <c r="N75" s="6"/>
    </row>
    <row r="76" spans="1:14" x14ac:dyDescent="0.25">
      <c r="A76" s="6"/>
      <c r="B76" s="6"/>
      <c r="C76" s="6"/>
      <c r="D76" s="6"/>
      <c r="E76" s="6"/>
      <c r="F76" s="6"/>
      <c r="G76" s="6"/>
      <c r="H76" s="6"/>
      <c r="I76" s="6"/>
      <c r="J76" s="6"/>
      <c r="K76" s="6"/>
      <c r="L76" s="6"/>
      <c r="M76" s="6"/>
      <c r="N76" s="6"/>
    </row>
    <row r="77" spans="1:14" x14ac:dyDescent="0.25">
      <c r="A77" s="6"/>
      <c r="B77" s="6"/>
      <c r="C77" s="6"/>
      <c r="D77" s="6"/>
      <c r="E77" s="6"/>
      <c r="F77" s="6"/>
      <c r="G77" s="6"/>
      <c r="H77" s="6"/>
      <c r="I77" s="6"/>
      <c r="J77" s="6"/>
      <c r="K77" s="6"/>
      <c r="L77" s="6"/>
      <c r="M77" s="6"/>
      <c r="N77" s="6"/>
    </row>
    <row r="78" spans="1:14" x14ac:dyDescent="0.25">
      <c r="A78" s="6"/>
      <c r="B78" s="6"/>
      <c r="C78" s="6"/>
      <c r="D78" s="6"/>
      <c r="E78" s="6"/>
      <c r="F78" s="6"/>
      <c r="G78" s="6"/>
      <c r="H78" s="6"/>
      <c r="I78" s="6"/>
      <c r="J78" s="6"/>
      <c r="K78" s="6"/>
      <c r="L78" s="6"/>
      <c r="M78" s="6"/>
      <c r="N78" s="6"/>
    </row>
    <row r="79" spans="1:14" x14ac:dyDescent="0.25">
      <c r="A79" s="6"/>
      <c r="B79" s="6"/>
      <c r="C79" s="6"/>
      <c r="D79" s="6"/>
      <c r="E79" s="6"/>
      <c r="F79" s="6"/>
      <c r="G79" s="6"/>
      <c r="H79" s="6"/>
      <c r="I79" s="6"/>
      <c r="J79" s="6"/>
      <c r="K79" s="6"/>
      <c r="L79" s="6"/>
      <c r="M79" s="6"/>
      <c r="N79" s="6"/>
    </row>
    <row r="80" spans="1:14" x14ac:dyDescent="0.25">
      <c r="A80" s="6"/>
      <c r="B80" s="6"/>
      <c r="C80" s="6"/>
      <c r="D80" s="6"/>
      <c r="E80" s="6"/>
      <c r="F80" s="6"/>
      <c r="G80" s="6"/>
      <c r="H80" s="6"/>
      <c r="I80" s="6"/>
      <c r="J80" s="6"/>
      <c r="K80" s="6"/>
      <c r="L80" s="6"/>
      <c r="M80" s="6"/>
      <c r="N80" s="6"/>
    </row>
    <row r="81" spans="1:14" x14ac:dyDescent="0.25">
      <c r="A81" s="6"/>
      <c r="B81" s="6"/>
      <c r="C81" s="6"/>
      <c r="D81" s="6"/>
      <c r="E81" s="6"/>
      <c r="F81" s="6"/>
      <c r="G81" s="6"/>
      <c r="H81" s="6"/>
      <c r="I81" s="6"/>
      <c r="J81" s="6"/>
      <c r="K81" s="6"/>
      <c r="L81" s="6"/>
      <c r="M81" s="6"/>
      <c r="N81" s="6"/>
    </row>
    <row r="82" spans="1:14" x14ac:dyDescent="0.25">
      <c r="A82" s="6"/>
      <c r="B82" s="6"/>
      <c r="C82" s="6"/>
      <c r="D82" s="6"/>
      <c r="E82" s="6"/>
      <c r="F82" s="6"/>
      <c r="G82" s="6"/>
      <c r="H82" s="6"/>
      <c r="I82" s="6"/>
      <c r="J82" s="6"/>
      <c r="K82" s="6"/>
      <c r="L82" s="6"/>
      <c r="M82" s="6"/>
      <c r="N82" s="6"/>
    </row>
    <row r="83" spans="1:14" x14ac:dyDescent="0.25">
      <c r="A83" s="6"/>
      <c r="B83" s="6"/>
      <c r="C83" s="6"/>
      <c r="D83" s="6"/>
      <c r="E83" s="6"/>
      <c r="F83" s="6"/>
      <c r="G83" s="6"/>
      <c r="H83" s="6"/>
      <c r="I83" s="6"/>
      <c r="J83" s="6"/>
      <c r="K83" s="6"/>
      <c r="L83" s="6"/>
      <c r="M83" s="6"/>
      <c r="N83" s="6"/>
    </row>
    <row r="84" spans="1:14" x14ac:dyDescent="0.25">
      <c r="A84" s="6"/>
      <c r="B84" s="6"/>
      <c r="C84" s="6"/>
      <c r="D84" s="6"/>
      <c r="E84" s="6"/>
      <c r="F84" s="6"/>
      <c r="G84" s="6"/>
      <c r="H84" s="6"/>
      <c r="I84" s="6"/>
      <c r="J84" s="6"/>
      <c r="K84" s="6"/>
      <c r="L84" s="6"/>
      <c r="M84" s="6"/>
      <c r="N84" s="6"/>
    </row>
    <row r="85" spans="1:14" x14ac:dyDescent="0.25">
      <c r="A85" s="6"/>
      <c r="B85" s="6"/>
      <c r="C85" s="6"/>
      <c r="D85" s="6"/>
      <c r="E85" s="6"/>
      <c r="F85" s="6"/>
      <c r="G85" s="6"/>
      <c r="H85" s="6"/>
      <c r="I85" s="6"/>
      <c r="J85" s="6"/>
      <c r="K85" s="6"/>
      <c r="L85" s="6"/>
      <c r="M85" s="6"/>
      <c r="N85" s="6"/>
    </row>
    <row r="86" spans="1:14" x14ac:dyDescent="0.25">
      <c r="A86" s="6"/>
      <c r="B86" s="6"/>
      <c r="C86" s="6"/>
      <c r="D86" s="6"/>
      <c r="E86" s="6"/>
      <c r="F86" s="6"/>
      <c r="G86" s="6"/>
      <c r="H86" s="6"/>
      <c r="I86" s="6"/>
      <c r="J86" s="6"/>
      <c r="K86" s="6"/>
      <c r="L86" s="6"/>
      <c r="M86" s="6"/>
      <c r="N86" s="6"/>
    </row>
    <row r="87" spans="1:14" x14ac:dyDescent="0.25">
      <c r="A87" s="6"/>
      <c r="B87" s="6"/>
      <c r="C87" s="6"/>
      <c r="D87" s="6"/>
      <c r="E87" s="6"/>
      <c r="F87" s="6"/>
      <c r="G87" s="6"/>
      <c r="H87" s="6"/>
      <c r="I87" s="6"/>
      <c r="J87" s="6"/>
      <c r="K87" s="6"/>
      <c r="L87" s="6"/>
      <c r="M87" s="6"/>
      <c r="N87" s="6"/>
    </row>
    <row r="88" spans="1:14" x14ac:dyDescent="0.25">
      <c r="A88" s="6"/>
      <c r="B88" s="6"/>
      <c r="C88" s="6"/>
      <c r="D88" s="6"/>
      <c r="E88" s="6"/>
      <c r="F88" s="6"/>
      <c r="G88" s="6"/>
      <c r="H88" s="6"/>
      <c r="I88" s="6"/>
      <c r="J88" s="6"/>
      <c r="K88" s="6"/>
      <c r="L88" s="6"/>
      <c r="M88" s="6"/>
      <c r="N88" s="6"/>
    </row>
    <row r="89" spans="1:14" x14ac:dyDescent="0.25">
      <c r="A89" s="6"/>
      <c r="B89" s="6"/>
      <c r="C89" s="6"/>
      <c r="D89" s="6"/>
      <c r="E89" s="6"/>
      <c r="F89" s="6"/>
      <c r="G89" s="6"/>
      <c r="H89" s="6"/>
      <c r="I89" s="6"/>
      <c r="J89" s="6"/>
      <c r="K89" s="6"/>
      <c r="L89" s="6"/>
      <c r="M89" s="6"/>
      <c r="N89" s="6"/>
    </row>
    <row r="90" spans="1:14" x14ac:dyDescent="0.25">
      <c r="A90" s="6"/>
      <c r="B90" s="6"/>
      <c r="C90" s="6"/>
      <c r="D90" s="6"/>
      <c r="E90" s="6"/>
      <c r="F90" s="6"/>
      <c r="G90" s="6"/>
      <c r="H90" s="6"/>
      <c r="I90" s="6"/>
      <c r="J90" s="6"/>
      <c r="K90" s="6"/>
      <c r="L90" s="6"/>
      <c r="M90" s="6"/>
      <c r="N90" s="6"/>
    </row>
    <row r="91" spans="1:14" x14ac:dyDescent="0.25">
      <c r="A91" s="6"/>
      <c r="B91" s="6"/>
      <c r="C91" s="6"/>
      <c r="D91" s="6"/>
      <c r="E91" s="6"/>
      <c r="F91" s="6"/>
      <c r="G91" s="6"/>
      <c r="H91" s="6"/>
      <c r="I91" s="6"/>
      <c r="J91" s="6"/>
      <c r="K91" s="6"/>
      <c r="L91" s="6"/>
      <c r="M91" s="6"/>
      <c r="N91" s="6"/>
    </row>
    <row r="92" spans="1:14" x14ac:dyDescent="0.25">
      <c r="A92" s="6"/>
      <c r="B92" s="6"/>
      <c r="C92" s="6"/>
      <c r="D92" s="6"/>
      <c r="E92" s="6"/>
      <c r="F92" s="6"/>
      <c r="G92" s="6"/>
      <c r="H92" s="6"/>
      <c r="I92" s="6"/>
      <c r="J92" s="6"/>
      <c r="K92" s="6"/>
      <c r="L92" s="6"/>
      <c r="M92" s="6"/>
      <c r="N92" s="6"/>
    </row>
    <row r="93" spans="1:14" x14ac:dyDescent="0.25">
      <c r="A93" s="6"/>
      <c r="B93" s="6"/>
      <c r="C93" s="6"/>
      <c r="D93" s="6"/>
      <c r="E93" s="6"/>
      <c r="F93" s="6"/>
      <c r="G93" s="6"/>
      <c r="H93" s="6"/>
      <c r="I93" s="6"/>
      <c r="J93" s="6"/>
      <c r="K93" s="6"/>
      <c r="L93" s="6"/>
      <c r="M93" s="6"/>
      <c r="N93" s="6"/>
    </row>
    <row r="94" spans="1:14" x14ac:dyDescent="0.25">
      <c r="A94" s="6"/>
      <c r="B94" s="6"/>
      <c r="C94" s="6"/>
      <c r="D94" s="6"/>
      <c r="E94" s="6"/>
      <c r="F94" s="6"/>
      <c r="G94" s="6"/>
      <c r="H94" s="6"/>
      <c r="I94" s="6"/>
      <c r="J94" s="6"/>
      <c r="K94" s="6"/>
      <c r="L94" s="6"/>
      <c r="M94" s="6"/>
      <c r="N94" s="6"/>
    </row>
    <row r="95" spans="1:14" x14ac:dyDescent="0.25">
      <c r="A95" s="6"/>
      <c r="B95" s="6"/>
      <c r="C95" s="6"/>
      <c r="D95" s="6"/>
      <c r="E95" s="6"/>
      <c r="F95" s="6"/>
      <c r="G95" s="6"/>
      <c r="H95" s="6"/>
      <c r="I95" s="6"/>
      <c r="J95" s="6"/>
      <c r="K95" s="6"/>
      <c r="L95" s="6"/>
      <c r="M95" s="6"/>
      <c r="N95" s="6"/>
    </row>
    <row r="96" spans="1:14" x14ac:dyDescent="0.25">
      <c r="A96" s="6"/>
      <c r="B96" s="6"/>
      <c r="C96" s="6"/>
      <c r="D96" s="6"/>
      <c r="E96" s="6"/>
      <c r="F96" s="6"/>
      <c r="G96" s="6"/>
      <c r="H96" s="6"/>
      <c r="I96" s="6"/>
      <c r="J96" s="6"/>
      <c r="K96" s="6"/>
      <c r="L96" s="6"/>
      <c r="M96" s="6"/>
      <c r="N96" s="6"/>
    </row>
    <row r="97" spans="1:14" x14ac:dyDescent="0.25">
      <c r="A97" s="6"/>
      <c r="B97" s="6"/>
      <c r="C97" s="6"/>
      <c r="D97" s="6"/>
      <c r="E97" s="6"/>
      <c r="F97" s="6"/>
      <c r="G97" s="6"/>
      <c r="H97" s="6"/>
      <c r="I97" s="6"/>
      <c r="J97" s="6"/>
      <c r="K97" s="6"/>
      <c r="L97" s="6"/>
      <c r="M97" s="6"/>
      <c r="N97" s="6"/>
    </row>
    <row r="98" spans="1:14" x14ac:dyDescent="0.25">
      <c r="A98" s="6"/>
      <c r="B98" s="6"/>
      <c r="C98" s="6"/>
      <c r="D98" s="6"/>
      <c r="E98" s="6"/>
      <c r="F98" s="6"/>
      <c r="G98" s="6"/>
      <c r="H98" s="6"/>
      <c r="I98" s="6"/>
      <c r="J98" s="6"/>
      <c r="K98" s="6"/>
      <c r="L98" s="6"/>
      <c r="M98" s="6"/>
      <c r="N98" s="6"/>
    </row>
    <row r="99" spans="1:14" x14ac:dyDescent="0.25">
      <c r="A99" s="6"/>
      <c r="B99" s="6"/>
      <c r="C99" s="6"/>
      <c r="D99" s="6"/>
      <c r="E99" s="6"/>
      <c r="F99" s="6"/>
      <c r="G99" s="6"/>
      <c r="H99" s="6"/>
      <c r="I99" s="6"/>
      <c r="J99" s="6"/>
      <c r="K99" s="6"/>
      <c r="L99" s="6"/>
      <c r="M99" s="6"/>
      <c r="N99" s="6"/>
    </row>
    <row r="100" spans="1:14" x14ac:dyDescent="0.25">
      <c r="A100" s="6"/>
      <c r="B100" s="6"/>
      <c r="C100" s="6"/>
      <c r="D100" s="6"/>
      <c r="E100" s="6"/>
      <c r="F100" s="6"/>
      <c r="G100" s="6"/>
      <c r="H100" s="6"/>
      <c r="I100" s="6"/>
      <c r="J100" s="6"/>
      <c r="K100" s="6"/>
      <c r="L100" s="6"/>
      <c r="M100" s="6"/>
      <c r="N100" s="6"/>
    </row>
    <row r="101" spans="1:14" x14ac:dyDescent="0.25">
      <c r="A101" s="6"/>
      <c r="B101" s="6"/>
      <c r="C101" s="6"/>
      <c r="D101" s="6"/>
      <c r="E101" s="6"/>
      <c r="F101" s="6"/>
      <c r="G101" s="6"/>
      <c r="H101" s="6"/>
      <c r="I101" s="6"/>
      <c r="J101" s="6"/>
      <c r="K101" s="6"/>
      <c r="L101" s="6"/>
      <c r="M101" s="6"/>
      <c r="N101" s="6"/>
    </row>
    <row r="102" spans="1:14" x14ac:dyDescent="0.25">
      <c r="A102" s="6"/>
      <c r="B102" s="6"/>
      <c r="C102" s="6"/>
      <c r="D102" s="6"/>
      <c r="E102" s="6"/>
      <c r="F102" s="6"/>
      <c r="G102" s="6"/>
      <c r="H102" s="6"/>
      <c r="I102" s="6"/>
      <c r="J102" s="6"/>
      <c r="K102" s="6"/>
      <c r="L102" s="6"/>
      <c r="M102" s="6"/>
      <c r="N102" s="6"/>
    </row>
    <row r="103" spans="1:14" x14ac:dyDescent="0.25">
      <c r="A103" s="6"/>
      <c r="B103" s="6"/>
      <c r="C103" s="6"/>
      <c r="D103" s="6"/>
      <c r="E103" s="6"/>
      <c r="F103" s="6"/>
      <c r="G103" s="6"/>
      <c r="H103" s="6"/>
      <c r="I103" s="6"/>
      <c r="J103" s="6"/>
      <c r="K103" s="6"/>
      <c r="L103" s="6"/>
      <c r="M103" s="6"/>
      <c r="N103" s="6"/>
    </row>
    <row r="104" spans="1:14" x14ac:dyDescent="0.25">
      <c r="A104" s="6"/>
      <c r="B104" s="6"/>
      <c r="C104" s="6"/>
      <c r="D104" s="6"/>
      <c r="E104" s="6"/>
      <c r="F104" s="6"/>
      <c r="G104" s="6"/>
      <c r="H104" s="6"/>
      <c r="I104" s="6"/>
      <c r="J104" s="6"/>
      <c r="K104" s="6"/>
      <c r="L104" s="6"/>
      <c r="M104" s="6"/>
      <c r="N104" s="6"/>
    </row>
    <row r="105" spans="1:14" x14ac:dyDescent="0.25">
      <c r="A105" s="6"/>
      <c r="B105" s="6"/>
      <c r="C105" s="6"/>
      <c r="D105" s="6"/>
      <c r="E105" s="6"/>
      <c r="F105" s="6"/>
      <c r="G105" s="6"/>
      <c r="H105" s="6"/>
      <c r="I105" s="6"/>
      <c r="J105" s="6"/>
      <c r="K105" s="6"/>
      <c r="L105" s="6"/>
      <c r="M105" s="6"/>
      <c r="N105" s="6"/>
    </row>
    <row r="106" spans="1:14" x14ac:dyDescent="0.25">
      <c r="A106" s="6"/>
      <c r="B106" s="6"/>
      <c r="C106" s="6"/>
      <c r="D106" s="6"/>
      <c r="E106" s="6"/>
      <c r="F106" s="6"/>
      <c r="G106" s="6"/>
      <c r="H106" s="6"/>
      <c r="I106" s="6"/>
      <c r="J106" s="6"/>
      <c r="K106" s="6"/>
      <c r="L106" s="6"/>
      <c r="M106" s="6"/>
      <c r="N106" s="6"/>
    </row>
    <row r="107" spans="1:14" x14ac:dyDescent="0.25">
      <c r="A107" s="6"/>
      <c r="B107" s="6"/>
      <c r="C107" s="6"/>
      <c r="D107" s="6"/>
      <c r="E107" s="6"/>
      <c r="F107" s="6"/>
      <c r="G107" s="6"/>
      <c r="H107" s="6"/>
      <c r="I107" s="6"/>
      <c r="J107" s="6"/>
      <c r="K107" s="6"/>
      <c r="L107" s="6"/>
      <c r="M107" s="6"/>
      <c r="N107" s="6"/>
    </row>
    <row r="108" spans="1:14" x14ac:dyDescent="0.25">
      <c r="A108" s="6"/>
      <c r="B108" s="6"/>
      <c r="C108" s="6"/>
      <c r="D108" s="6"/>
      <c r="E108" s="6"/>
      <c r="F108" s="6"/>
      <c r="G108" s="6"/>
      <c r="H108" s="6"/>
      <c r="I108" s="6"/>
      <c r="J108" s="6"/>
      <c r="K108" s="6"/>
      <c r="L108" s="6"/>
      <c r="M108" s="6"/>
      <c r="N108" s="6"/>
    </row>
    <row r="109" spans="1:14" x14ac:dyDescent="0.25">
      <c r="A109" s="6"/>
      <c r="B109" s="6"/>
      <c r="C109" s="6"/>
      <c r="D109" s="6"/>
      <c r="E109" s="6"/>
      <c r="F109" s="6"/>
      <c r="G109" s="6"/>
      <c r="H109" s="6"/>
      <c r="I109" s="6"/>
      <c r="J109" s="6"/>
      <c r="K109" s="6"/>
      <c r="L109" s="6"/>
      <c r="M109" s="6"/>
      <c r="N109" s="6"/>
    </row>
    <row r="110" spans="1:14" x14ac:dyDescent="0.25">
      <c r="A110" s="6"/>
      <c r="B110" s="6"/>
      <c r="C110" s="6"/>
      <c r="D110" s="6"/>
      <c r="E110" s="6"/>
      <c r="F110" s="6"/>
      <c r="G110" s="6"/>
      <c r="H110" s="6"/>
      <c r="I110" s="6"/>
      <c r="J110" s="6"/>
      <c r="K110" s="6"/>
      <c r="L110" s="6"/>
      <c r="M110" s="6"/>
      <c r="N110" s="6"/>
    </row>
    <row r="111" spans="1:14" x14ac:dyDescent="0.25">
      <c r="A111" s="6"/>
      <c r="B111" s="6"/>
      <c r="C111" s="6"/>
      <c r="D111" s="6"/>
      <c r="E111" s="6"/>
      <c r="F111" s="6"/>
      <c r="G111" s="6"/>
      <c r="H111" s="6"/>
      <c r="I111" s="6"/>
      <c r="J111" s="6"/>
      <c r="K111" s="6"/>
      <c r="L111" s="6"/>
      <c r="M111" s="6"/>
      <c r="N111" s="6"/>
    </row>
    <row r="112" spans="1:14" x14ac:dyDescent="0.25">
      <c r="A112" s="6"/>
      <c r="B112" s="6"/>
      <c r="C112" s="6"/>
      <c r="D112" s="6"/>
      <c r="E112" s="6"/>
      <c r="F112" s="6"/>
      <c r="G112" s="6"/>
      <c r="H112" s="6"/>
      <c r="I112" s="6"/>
      <c r="J112" s="6"/>
      <c r="K112" s="6"/>
      <c r="L112" s="6"/>
      <c r="M112" s="6"/>
      <c r="N112" s="6"/>
    </row>
    <row r="113" spans="1:14" x14ac:dyDescent="0.25">
      <c r="A113" s="6"/>
      <c r="B113" s="6"/>
      <c r="C113" s="6"/>
      <c r="D113" s="6"/>
      <c r="E113" s="6"/>
      <c r="F113" s="6"/>
      <c r="G113" s="6"/>
      <c r="H113" s="6"/>
      <c r="I113" s="6"/>
      <c r="J113" s="6"/>
      <c r="K113" s="6"/>
      <c r="L113" s="6"/>
      <c r="M113" s="6"/>
      <c r="N113" s="6"/>
    </row>
    <row r="114" spans="1:14" x14ac:dyDescent="0.25">
      <c r="A114" s="6"/>
      <c r="B114" s="6"/>
      <c r="C114" s="6"/>
      <c r="D114" s="6"/>
      <c r="E114" s="6"/>
      <c r="F114" s="6"/>
      <c r="G114" s="6"/>
      <c r="H114" s="6"/>
      <c r="I114" s="6"/>
      <c r="J114" s="6"/>
      <c r="K114" s="6"/>
      <c r="L114" s="6"/>
      <c r="M114" s="6"/>
      <c r="N114" s="6"/>
    </row>
    <row r="115" spans="1:14" x14ac:dyDescent="0.25">
      <c r="A115" s="6"/>
      <c r="B115" s="6"/>
      <c r="C115" s="6"/>
      <c r="D115" s="6"/>
      <c r="E115" s="6"/>
      <c r="F115" s="6"/>
      <c r="G115" s="6"/>
      <c r="H115" s="6"/>
      <c r="I115" s="6"/>
      <c r="J115" s="6"/>
      <c r="K115" s="6"/>
      <c r="L115" s="6"/>
      <c r="M115" s="6"/>
      <c r="N115" s="6"/>
    </row>
    <row r="116" spans="1:14" x14ac:dyDescent="0.25">
      <c r="A116" s="6"/>
      <c r="B116" s="6"/>
      <c r="C116" s="6"/>
      <c r="D116" s="6"/>
      <c r="E116" s="6"/>
      <c r="F116" s="6"/>
      <c r="G116" s="6"/>
      <c r="H116" s="6"/>
      <c r="I116" s="6"/>
      <c r="J116" s="6"/>
      <c r="K116" s="6"/>
      <c r="L116" s="6"/>
      <c r="M116" s="6"/>
      <c r="N116" s="6"/>
    </row>
    <row r="117" spans="1:14" x14ac:dyDescent="0.25">
      <c r="A117" s="6"/>
      <c r="B117" s="6"/>
      <c r="C117" s="6"/>
      <c r="D117" s="6"/>
      <c r="E117" s="6"/>
      <c r="F117" s="6"/>
      <c r="G117" s="6"/>
      <c r="H117" s="6"/>
      <c r="I117" s="6"/>
      <c r="J117" s="6"/>
      <c r="K117" s="6"/>
      <c r="L117" s="6"/>
      <c r="M117" s="6"/>
      <c r="N117" s="6"/>
    </row>
    <row r="118" spans="1:14" x14ac:dyDescent="0.25">
      <c r="A118" s="6"/>
      <c r="B118" s="6"/>
      <c r="C118" s="6"/>
      <c r="D118" s="6"/>
      <c r="E118" s="6"/>
      <c r="F118" s="6"/>
      <c r="G118" s="6"/>
      <c r="H118" s="6"/>
      <c r="I118" s="6"/>
      <c r="J118" s="6"/>
      <c r="K118" s="6"/>
      <c r="L118" s="6"/>
      <c r="M118" s="6"/>
      <c r="N118" s="6"/>
    </row>
    <row r="119" spans="1:14" x14ac:dyDescent="0.25">
      <c r="A119" s="6"/>
      <c r="B119" s="6"/>
      <c r="C119" s="6"/>
      <c r="D119" s="6"/>
      <c r="E119" s="6"/>
      <c r="F119" s="6"/>
      <c r="G119" s="6"/>
      <c r="H119" s="6"/>
      <c r="I119" s="6"/>
      <c r="J119" s="6"/>
      <c r="K119" s="6"/>
      <c r="L119" s="6"/>
      <c r="M119" s="6"/>
      <c r="N119" s="6"/>
    </row>
    <row r="120" spans="1:14" x14ac:dyDescent="0.25">
      <c r="A120" s="6"/>
      <c r="B120" s="6"/>
      <c r="C120" s="6"/>
      <c r="D120" s="6"/>
      <c r="E120" s="6"/>
      <c r="F120" s="6"/>
      <c r="G120" s="6"/>
      <c r="H120" s="6"/>
      <c r="I120" s="6"/>
      <c r="J120" s="6"/>
      <c r="K120" s="6"/>
      <c r="L120" s="6"/>
      <c r="M120" s="6"/>
      <c r="N120" s="6"/>
    </row>
    <row r="121" spans="1:14" x14ac:dyDescent="0.25">
      <c r="A121" s="6"/>
      <c r="B121" s="6"/>
      <c r="C121" s="6"/>
      <c r="D121" s="6"/>
      <c r="E121" s="6"/>
      <c r="F121" s="6"/>
      <c r="G121" s="6"/>
      <c r="H121" s="6"/>
      <c r="I121" s="6"/>
      <c r="J121" s="6"/>
      <c r="K121" s="6"/>
      <c r="L121" s="6"/>
      <c r="M121" s="6"/>
      <c r="N121" s="6"/>
    </row>
    <row r="122" spans="1:14" x14ac:dyDescent="0.25">
      <c r="A122" s="6"/>
      <c r="B122" s="6"/>
      <c r="C122" s="6"/>
      <c r="D122" s="6"/>
      <c r="E122" s="6"/>
      <c r="F122" s="6"/>
      <c r="G122" s="6"/>
      <c r="H122" s="6"/>
      <c r="I122" s="6"/>
      <c r="J122" s="6"/>
      <c r="K122" s="6"/>
      <c r="L122" s="6"/>
      <c r="M122" s="6"/>
      <c r="N122" s="6"/>
    </row>
    <row r="123" spans="1:14" x14ac:dyDescent="0.25">
      <c r="A123" s="6"/>
      <c r="B123" s="6"/>
      <c r="C123" s="6"/>
      <c r="D123" s="6"/>
      <c r="E123" s="6"/>
      <c r="F123" s="6"/>
      <c r="G123" s="6"/>
      <c r="H123" s="6"/>
      <c r="I123" s="6"/>
      <c r="J123" s="6"/>
      <c r="K123" s="6"/>
      <c r="L123" s="6"/>
      <c r="M123" s="6"/>
      <c r="N123" s="6"/>
    </row>
    <row r="124" spans="1:14" x14ac:dyDescent="0.25">
      <c r="A124" s="6"/>
      <c r="B124" s="6"/>
      <c r="C124" s="6"/>
      <c r="D124" s="6"/>
      <c r="E124" s="6"/>
      <c r="F124" s="6"/>
      <c r="G124" s="6"/>
      <c r="H124" s="6"/>
      <c r="I124" s="6"/>
      <c r="J124" s="6"/>
      <c r="K124" s="6"/>
      <c r="L124" s="6"/>
      <c r="M124" s="6"/>
      <c r="N124" s="6"/>
    </row>
    <row r="125" spans="1:14" x14ac:dyDescent="0.25">
      <c r="A125" s="6"/>
      <c r="B125" s="6"/>
      <c r="C125" s="6"/>
      <c r="D125" s="6"/>
      <c r="E125" s="6"/>
      <c r="F125" s="6"/>
      <c r="G125" s="6"/>
      <c r="H125" s="6"/>
      <c r="I125" s="6"/>
      <c r="J125" s="6"/>
      <c r="K125" s="6"/>
      <c r="L125" s="6"/>
      <c r="M125" s="6"/>
      <c r="N125" s="6"/>
    </row>
    <row r="126" spans="1:14" x14ac:dyDescent="0.25">
      <c r="A126" s="6"/>
      <c r="B126" s="6"/>
      <c r="C126" s="6"/>
      <c r="D126" s="6"/>
      <c r="E126" s="6"/>
      <c r="F126" s="6"/>
      <c r="G126" s="6"/>
      <c r="H126" s="6"/>
      <c r="I126" s="6"/>
      <c r="J126" s="6"/>
      <c r="K126" s="6"/>
      <c r="L126" s="6"/>
      <c r="M126" s="6"/>
      <c r="N126" s="6"/>
    </row>
    <row r="127" spans="1:14" x14ac:dyDescent="0.25">
      <c r="A127" s="6"/>
      <c r="B127" s="6"/>
      <c r="C127" s="6"/>
      <c r="D127" s="6"/>
      <c r="E127" s="6"/>
      <c r="F127" s="6"/>
      <c r="G127" s="6"/>
      <c r="H127" s="6"/>
      <c r="I127" s="6"/>
      <c r="J127" s="6"/>
      <c r="K127" s="6"/>
      <c r="L127" s="6"/>
      <c r="M127" s="6"/>
      <c r="N127" s="6"/>
    </row>
    <row r="128" spans="1:14" x14ac:dyDescent="0.25">
      <c r="A128" s="6"/>
      <c r="B128" s="6"/>
      <c r="C128" s="6"/>
      <c r="D128" s="6"/>
      <c r="E128" s="6"/>
      <c r="F128" s="6"/>
      <c r="G128" s="6"/>
      <c r="H128" s="6"/>
      <c r="I128" s="6"/>
      <c r="J128" s="6"/>
      <c r="K128" s="6"/>
      <c r="L128" s="6"/>
      <c r="M128" s="6"/>
      <c r="N128" s="6"/>
    </row>
    <row r="129" spans="1:14" x14ac:dyDescent="0.25">
      <c r="A129" s="6"/>
      <c r="B129" s="6"/>
      <c r="C129" s="6"/>
      <c r="D129" s="6"/>
      <c r="E129" s="6"/>
      <c r="F129" s="6"/>
      <c r="G129" s="6"/>
      <c r="H129" s="6"/>
      <c r="I129" s="6"/>
      <c r="J129" s="6"/>
      <c r="K129" s="6"/>
      <c r="L129" s="6"/>
      <c r="M129" s="6"/>
      <c r="N129" s="6"/>
    </row>
    <row r="130" spans="1:14" x14ac:dyDescent="0.25">
      <c r="A130" s="6"/>
      <c r="B130" s="6"/>
      <c r="C130" s="6"/>
      <c r="D130" s="6"/>
      <c r="E130" s="6"/>
      <c r="F130" s="6"/>
      <c r="G130" s="6"/>
      <c r="H130" s="6"/>
      <c r="I130" s="6"/>
      <c r="J130" s="6"/>
      <c r="K130" s="6"/>
      <c r="L130" s="6"/>
      <c r="M130" s="6"/>
      <c r="N130" s="6"/>
    </row>
    <row r="131" spans="1:14" x14ac:dyDescent="0.25">
      <c r="A131" s="6"/>
      <c r="B131" s="6"/>
      <c r="C131" s="6"/>
      <c r="D131" s="6"/>
      <c r="E131" s="6"/>
      <c r="F131" s="6"/>
      <c r="G131" s="6"/>
      <c r="H131" s="6"/>
      <c r="I131" s="6"/>
      <c r="J131" s="6"/>
      <c r="K131" s="6"/>
      <c r="L131" s="6"/>
      <c r="M131" s="6"/>
      <c r="N131" s="6"/>
    </row>
    <row r="132" spans="1:14" x14ac:dyDescent="0.25">
      <c r="A132" s="6"/>
      <c r="B132" s="6"/>
      <c r="C132" s="6"/>
      <c r="D132" s="6"/>
      <c r="E132" s="6"/>
      <c r="F132" s="6"/>
      <c r="G132" s="6"/>
      <c r="H132" s="6"/>
      <c r="I132" s="6"/>
      <c r="J132" s="6"/>
      <c r="K132" s="6"/>
      <c r="L132" s="6"/>
      <c r="M132" s="6"/>
      <c r="N132" s="6"/>
    </row>
    <row r="133" spans="1:14" x14ac:dyDescent="0.25">
      <c r="A133" s="6"/>
      <c r="B133" s="6"/>
      <c r="C133" s="6"/>
      <c r="D133" s="6"/>
      <c r="E133" s="6"/>
      <c r="F133" s="6"/>
      <c r="G133" s="6"/>
      <c r="H133" s="6"/>
      <c r="I133" s="6"/>
      <c r="J133" s="6"/>
      <c r="K133" s="6"/>
      <c r="L133" s="6"/>
      <c r="M133" s="6"/>
      <c r="N133" s="6"/>
    </row>
    <row r="134" spans="1:14" x14ac:dyDescent="0.25">
      <c r="A134" s="6"/>
      <c r="B134" s="6"/>
      <c r="C134" s="6"/>
      <c r="D134" s="6"/>
      <c r="E134" s="6"/>
      <c r="F134" s="6"/>
      <c r="G134" s="6"/>
      <c r="H134" s="6"/>
      <c r="I134" s="6"/>
      <c r="J134" s="6"/>
      <c r="K134" s="6"/>
      <c r="L134" s="6"/>
      <c r="M134" s="6"/>
      <c r="N134" s="6"/>
    </row>
    <row r="135" spans="1:14" x14ac:dyDescent="0.25">
      <c r="A135" s="6"/>
      <c r="B135" s="6"/>
      <c r="C135" s="6"/>
      <c r="D135" s="6"/>
      <c r="E135" s="6"/>
      <c r="F135" s="6"/>
      <c r="G135" s="6"/>
      <c r="H135" s="6"/>
      <c r="I135" s="6"/>
      <c r="J135" s="6"/>
      <c r="K135" s="6"/>
      <c r="L135" s="6"/>
      <c r="M135" s="6"/>
      <c r="N135" s="6"/>
    </row>
    <row r="136" spans="1:14" x14ac:dyDescent="0.25">
      <c r="A136" s="6"/>
      <c r="B136" s="6"/>
      <c r="C136" s="6"/>
      <c r="D136" s="6"/>
      <c r="E136" s="6"/>
      <c r="F136" s="6"/>
      <c r="G136" s="6"/>
      <c r="H136" s="6"/>
      <c r="I136" s="6"/>
      <c r="J136" s="6"/>
      <c r="K136" s="6"/>
      <c r="L136" s="6"/>
      <c r="M136" s="6"/>
      <c r="N136" s="6"/>
    </row>
    <row r="137" spans="1:14" x14ac:dyDescent="0.25">
      <c r="A137" s="6"/>
      <c r="B137" s="6"/>
      <c r="C137" s="6"/>
      <c r="D137" s="6"/>
      <c r="E137" s="6"/>
      <c r="F137" s="6"/>
      <c r="G137" s="6"/>
      <c r="H137" s="6"/>
      <c r="I137" s="6"/>
      <c r="J137" s="6"/>
      <c r="K137" s="6"/>
      <c r="L137" s="6"/>
      <c r="M137" s="6"/>
      <c r="N137" s="6"/>
    </row>
    <row r="138" spans="1:14" x14ac:dyDescent="0.25">
      <c r="A138" s="6"/>
      <c r="B138" s="6"/>
      <c r="C138" s="6"/>
      <c r="D138" s="6"/>
      <c r="E138" s="6"/>
      <c r="F138" s="6"/>
      <c r="G138" s="6"/>
      <c r="H138" s="6"/>
      <c r="I138" s="6"/>
      <c r="J138" s="6"/>
      <c r="K138" s="6"/>
      <c r="L138" s="6"/>
      <c r="M138" s="6"/>
      <c r="N138" s="6"/>
    </row>
    <row r="139" spans="1:14" x14ac:dyDescent="0.25">
      <c r="A139" s="6"/>
      <c r="B139" s="6"/>
      <c r="C139" s="6"/>
      <c r="D139" s="6"/>
      <c r="E139" s="6"/>
      <c r="F139" s="6"/>
      <c r="G139" s="6"/>
      <c r="H139" s="6"/>
      <c r="I139" s="6"/>
      <c r="J139" s="6"/>
      <c r="K139" s="6"/>
      <c r="L139" s="6"/>
      <c r="M139" s="6"/>
      <c r="N139" s="6"/>
    </row>
    <row r="140" spans="1:14" x14ac:dyDescent="0.25">
      <c r="A140" s="6"/>
      <c r="B140" s="6"/>
      <c r="C140" s="6"/>
      <c r="D140" s="6"/>
      <c r="E140" s="6"/>
      <c r="F140" s="6"/>
      <c r="G140" s="6"/>
      <c r="H140" s="6"/>
      <c r="I140" s="6"/>
      <c r="J140" s="6"/>
      <c r="K140" s="6"/>
      <c r="L140" s="6"/>
      <c r="M140" s="6"/>
      <c r="N140" s="6"/>
    </row>
    <row r="141" spans="1:14" x14ac:dyDescent="0.25">
      <c r="A141" s="4"/>
      <c r="B141" s="4"/>
      <c r="C141" s="4"/>
      <c r="D141" s="4"/>
      <c r="E141" s="4"/>
      <c r="F141" s="4"/>
      <c r="G141" s="4"/>
      <c r="H141" s="4"/>
      <c r="I141" s="4"/>
      <c r="J141" s="4"/>
      <c r="K141" s="4"/>
      <c r="L141" s="4"/>
      <c r="M141" s="4"/>
      <c r="N141" s="4"/>
    </row>
    <row r="142" spans="1:14" x14ac:dyDescent="0.25">
      <c r="A142" s="4"/>
      <c r="B142" s="4"/>
      <c r="C142" s="4"/>
      <c r="D142" s="4"/>
      <c r="E142" s="4"/>
      <c r="F142" s="4"/>
      <c r="G142" s="4"/>
      <c r="H142" s="4"/>
      <c r="I142" s="4"/>
      <c r="J142" s="4"/>
      <c r="K142" s="4"/>
      <c r="L142" s="4"/>
      <c r="M142" s="4"/>
      <c r="N142" s="4"/>
    </row>
    <row r="143" spans="1:14" x14ac:dyDescent="0.25">
      <c r="A143" s="4"/>
      <c r="B143" s="4"/>
      <c r="C143" s="4"/>
      <c r="D143" s="4"/>
      <c r="E143" s="4"/>
      <c r="F143" s="4"/>
      <c r="G143" s="4"/>
      <c r="H143" s="4"/>
      <c r="I143" s="4"/>
      <c r="J143" s="4"/>
      <c r="K143" s="4"/>
      <c r="L143" s="4"/>
      <c r="M143" s="4"/>
      <c r="N143" s="4"/>
    </row>
    <row r="144" spans="1:14" x14ac:dyDescent="0.25">
      <c r="A144" s="4"/>
      <c r="B144" s="4"/>
      <c r="C144" s="4"/>
      <c r="D144" s="4"/>
      <c r="E144" s="4"/>
      <c r="F144" s="4"/>
      <c r="G144" s="4"/>
      <c r="H144" s="4"/>
      <c r="I144" s="4"/>
      <c r="J144" s="4"/>
      <c r="K144" s="4"/>
      <c r="L144" s="4"/>
      <c r="M144" s="4"/>
      <c r="N144" s="4"/>
    </row>
    <row r="145" spans="1:14" x14ac:dyDescent="0.25">
      <c r="A145" s="4"/>
      <c r="B145" s="4"/>
      <c r="C145" s="4"/>
      <c r="D145" s="4"/>
      <c r="E145" s="4"/>
      <c r="F145" s="4"/>
      <c r="G145" s="4"/>
      <c r="H145" s="4"/>
      <c r="I145" s="4"/>
      <c r="J145" s="4"/>
      <c r="K145" s="4"/>
      <c r="L145" s="4"/>
      <c r="M145" s="4"/>
      <c r="N145" s="4"/>
    </row>
    <row r="146" spans="1:14" x14ac:dyDescent="0.25">
      <c r="A146" s="4"/>
      <c r="B146" s="4"/>
      <c r="C146" s="4"/>
      <c r="D146" s="4"/>
      <c r="E146" s="4"/>
      <c r="F146" s="4"/>
      <c r="G146" s="4"/>
      <c r="H146" s="4"/>
      <c r="I146" s="4"/>
      <c r="J146" s="4"/>
      <c r="K146" s="4"/>
      <c r="L146" s="4"/>
      <c r="M146" s="4"/>
      <c r="N146" s="4"/>
    </row>
    <row r="147" spans="1:14" x14ac:dyDescent="0.25">
      <c r="A147" s="4"/>
      <c r="B147" s="4"/>
      <c r="C147" s="4"/>
      <c r="D147" s="4"/>
      <c r="E147" s="4"/>
      <c r="F147" s="4"/>
      <c r="G147" s="4"/>
      <c r="H147" s="4"/>
      <c r="I147" s="4"/>
      <c r="J147" s="4"/>
      <c r="K147" s="4"/>
      <c r="L147" s="4"/>
      <c r="M147" s="4"/>
      <c r="N147" s="4"/>
    </row>
    <row r="148" spans="1:14" x14ac:dyDescent="0.25">
      <c r="A148" s="4"/>
      <c r="B148" s="4"/>
      <c r="C148" s="4"/>
      <c r="D148" s="4"/>
      <c r="E148" s="4"/>
      <c r="F148" s="4"/>
      <c r="G148" s="4"/>
      <c r="H148" s="4"/>
      <c r="I148" s="4"/>
      <c r="J148" s="4"/>
      <c r="K148" s="4"/>
      <c r="L148" s="4"/>
      <c r="M148" s="4"/>
      <c r="N148" s="4"/>
    </row>
    <row r="149" spans="1:14" x14ac:dyDescent="0.25">
      <c r="A149" s="4"/>
      <c r="B149" s="4"/>
      <c r="C149" s="4"/>
      <c r="D149" s="4"/>
      <c r="E149" s="4"/>
      <c r="F149" s="4"/>
      <c r="G149" s="4"/>
      <c r="H149" s="4"/>
      <c r="I149" s="4"/>
      <c r="J149" s="4"/>
      <c r="K149" s="4"/>
      <c r="L149" s="4"/>
      <c r="M149" s="4"/>
      <c r="N149" s="4"/>
    </row>
    <row r="150" spans="1:14" x14ac:dyDescent="0.25">
      <c r="A150" s="4"/>
      <c r="B150" s="4"/>
      <c r="C150" s="4"/>
      <c r="D150" s="4"/>
      <c r="E150" s="4"/>
      <c r="F150" s="4"/>
      <c r="G150" s="4"/>
      <c r="H150" s="4"/>
      <c r="I150" s="4"/>
      <c r="J150" s="4"/>
      <c r="K150" s="4"/>
      <c r="L150" s="4"/>
      <c r="M150" s="4"/>
      <c r="N150" s="4"/>
    </row>
    <row r="151" spans="1:14" x14ac:dyDescent="0.25">
      <c r="A151" s="4"/>
      <c r="B151" s="4"/>
      <c r="C151" s="4"/>
      <c r="D151" s="4"/>
      <c r="E151" s="4"/>
      <c r="F151" s="4"/>
      <c r="G151" s="4"/>
      <c r="H151" s="4"/>
      <c r="I151" s="4"/>
      <c r="J151" s="4"/>
      <c r="K151" s="4"/>
      <c r="L151" s="4"/>
      <c r="M151" s="4"/>
      <c r="N151" s="4"/>
    </row>
    <row r="152" spans="1:14" x14ac:dyDescent="0.25">
      <c r="A152" s="4"/>
      <c r="B152" s="4"/>
      <c r="C152" s="4"/>
      <c r="D152" s="4"/>
      <c r="E152" s="4"/>
      <c r="F152" s="4"/>
      <c r="G152" s="4"/>
      <c r="H152" s="4"/>
      <c r="I152" s="4"/>
      <c r="J152" s="4"/>
      <c r="K152" s="4"/>
      <c r="L152" s="4"/>
      <c r="M152" s="4"/>
      <c r="N152" s="4"/>
    </row>
    <row r="153" spans="1:14" x14ac:dyDescent="0.25">
      <c r="A153" s="4"/>
      <c r="B153" s="4"/>
      <c r="C153" s="4"/>
      <c r="D153" s="4"/>
      <c r="E153" s="4"/>
      <c r="F153" s="4"/>
      <c r="G153" s="4"/>
      <c r="H153" s="4"/>
      <c r="I153" s="4"/>
      <c r="J153" s="4"/>
      <c r="K153" s="4"/>
      <c r="L153" s="4"/>
      <c r="M153" s="4"/>
      <c r="N153" s="4"/>
    </row>
    <row r="154" spans="1:14" x14ac:dyDescent="0.25">
      <c r="A154" s="4"/>
      <c r="B154" s="4"/>
      <c r="C154" s="4"/>
      <c r="D154" s="4"/>
      <c r="E154" s="4"/>
      <c r="F154" s="4"/>
      <c r="G154" s="4"/>
      <c r="H154" s="4"/>
      <c r="I154" s="4"/>
      <c r="J154" s="4"/>
      <c r="K154" s="4"/>
      <c r="L154" s="4"/>
      <c r="M154" s="4"/>
      <c r="N154" s="4"/>
    </row>
    <row r="155" spans="1:14" x14ac:dyDescent="0.25">
      <c r="A155" s="4"/>
      <c r="B155" s="4"/>
      <c r="C155" s="4"/>
      <c r="D155" s="4"/>
      <c r="E155" s="4"/>
      <c r="F155" s="4"/>
      <c r="G155" s="4"/>
      <c r="H155" s="4"/>
      <c r="I155" s="4"/>
      <c r="J155" s="4"/>
      <c r="K155" s="4"/>
      <c r="L155" s="4"/>
      <c r="M155" s="4"/>
      <c r="N155" s="4"/>
    </row>
    <row r="156" spans="1:14" x14ac:dyDescent="0.25">
      <c r="A156" s="4"/>
      <c r="B156" s="4"/>
      <c r="C156" s="4"/>
      <c r="D156" s="4"/>
      <c r="E156" s="4"/>
      <c r="F156" s="4"/>
      <c r="G156" s="4"/>
      <c r="H156" s="4"/>
      <c r="I156" s="4"/>
      <c r="J156" s="4"/>
      <c r="K156" s="4"/>
      <c r="L156" s="4"/>
      <c r="M156" s="4"/>
      <c r="N156" s="4"/>
    </row>
    <row r="157" spans="1:14" x14ac:dyDescent="0.25">
      <c r="A157" s="4"/>
      <c r="B157" s="4"/>
      <c r="C157" s="4"/>
      <c r="D157" s="4"/>
      <c r="E157" s="4"/>
      <c r="F157" s="4"/>
      <c r="G157" s="4"/>
      <c r="H157" s="4"/>
      <c r="I157" s="4"/>
      <c r="J157" s="4"/>
      <c r="K157" s="4"/>
      <c r="L157" s="4"/>
      <c r="M157" s="4"/>
      <c r="N157" s="4"/>
    </row>
    <row r="158" spans="1:14" x14ac:dyDescent="0.25">
      <c r="A158" s="4"/>
      <c r="B158" s="4"/>
      <c r="C158" s="4"/>
      <c r="D158" s="4"/>
      <c r="E158" s="4"/>
      <c r="F158" s="4"/>
      <c r="G158" s="4"/>
      <c r="H158" s="4"/>
      <c r="I158" s="4"/>
      <c r="J158" s="4"/>
      <c r="K158" s="4"/>
      <c r="L158" s="4"/>
      <c r="M158" s="4"/>
      <c r="N158" s="4"/>
    </row>
    <row r="159" spans="1:14" x14ac:dyDescent="0.25">
      <c r="A159" s="4"/>
      <c r="B159" s="4"/>
      <c r="C159" s="4"/>
      <c r="D159" s="4"/>
      <c r="E159" s="4"/>
      <c r="F159" s="4"/>
      <c r="G159" s="4"/>
      <c r="H159" s="4"/>
      <c r="I159" s="4"/>
      <c r="J159" s="4"/>
      <c r="K159" s="4"/>
      <c r="L159" s="4"/>
      <c r="M159" s="4"/>
      <c r="N159" s="4"/>
    </row>
    <row r="160" spans="1:14" x14ac:dyDescent="0.25">
      <c r="A160" s="4"/>
      <c r="B160" s="4"/>
      <c r="C160" s="4"/>
      <c r="D160" s="4"/>
      <c r="E160" s="4"/>
      <c r="F160" s="4"/>
      <c r="G160" s="4"/>
      <c r="H160" s="4"/>
      <c r="I160" s="4"/>
      <c r="J160" s="4"/>
      <c r="K160" s="4"/>
      <c r="L160" s="4"/>
      <c r="M160" s="4"/>
      <c r="N160" s="4"/>
    </row>
    <row r="161" spans="1:14" x14ac:dyDescent="0.25">
      <c r="A161" s="4"/>
      <c r="B161" s="4"/>
      <c r="C161" s="4"/>
      <c r="D161" s="4"/>
      <c r="E161" s="4"/>
      <c r="F161" s="4"/>
      <c r="G161" s="4"/>
      <c r="H161" s="4"/>
      <c r="I161" s="4"/>
      <c r="J161" s="4"/>
      <c r="K161" s="4"/>
      <c r="L161" s="4"/>
      <c r="M161" s="4"/>
      <c r="N161" s="4"/>
    </row>
    <row r="162" spans="1:14" x14ac:dyDescent="0.25">
      <c r="A162" s="4"/>
      <c r="B162" s="4"/>
      <c r="C162" s="4"/>
      <c r="D162" s="4"/>
      <c r="E162" s="4"/>
      <c r="F162" s="4"/>
      <c r="G162" s="4"/>
      <c r="H162" s="4"/>
      <c r="I162" s="4"/>
      <c r="J162" s="4"/>
      <c r="K162" s="4"/>
      <c r="L162" s="4"/>
      <c r="M162" s="4"/>
      <c r="N162" s="4"/>
    </row>
    <row r="163" spans="1:14" x14ac:dyDescent="0.25">
      <c r="A163" s="4"/>
      <c r="B163" s="4"/>
      <c r="C163" s="4"/>
      <c r="D163" s="4"/>
      <c r="E163" s="4"/>
      <c r="F163" s="4"/>
      <c r="G163" s="4"/>
      <c r="H163" s="4"/>
      <c r="I163" s="4"/>
      <c r="J163" s="4"/>
      <c r="K163" s="4"/>
      <c r="L163" s="4"/>
      <c r="M163" s="4"/>
      <c r="N163" s="4"/>
    </row>
    <row r="164" spans="1:14" x14ac:dyDescent="0.25">
      <c r="A164" s="4"/>
      <c r="B164" s="4"/>
      <c r="C164" s="4"/>
      <c r="D164" s="4"/>
      <c r="E164" s="4"/>
      <c r="F164" s="4"/>
      <c r="G164" s="4"/>
      <c r="H164" s="4"/>
      <c r="I164" s="4"/>
      <c r="J164" s="4"/>
      <c r="K164" s="4"/>
      <c r="L164" s="4"/>
      <c r="M164" s="4"/>
      <c r="N164" s="4"/>
    </row>
    <row r="165" spans="1:14" x14ac:dyDescent="0.25">
      <c r="A165" s="4"/>
      <c r="B165" s="4"/>
      <c r="C165" s="4"/>
      <c r="D165" s="4"/>
      <c r="E165" s="4"/>
      <c r="F165" s="4"/>
      <c r="G165" s="4"/>
      <c r="H165" s="4"/>
      <c r="I165" s="4"/>
      <c r="J165" s="4"/>
      <c r="K165" s="4"/>
      <c r="L165" s="4"/>
      <c r="M165" s="4"/>
      <c r="N165" s="4"/>
    </row>
    <row r="166" spans="1:14" x14ac:dyDescent="0.25">
      <c r="A166" s="4"/>
      <c r="B166" s="4"/>
      <c r="C166" s="4"/>
      <c r="D166" s="4"/>
      <c r="E166" s="4"/>
      <c r="F166" s="4"/>
      <c r="G166" s="4"/>
      <c r="H166" s="4"/>
      <c r="I166" s="4"/>
      <c r="J166" s="4"/>
      <c r="K166" s="4"/>
      <c r="L166" s="4"/>
      <c r="M166" s="4"/>
      <c r="N166" s="4"/>
    </row>
    <row r="167" spans="1:14" x14ac:dyDescent="0.25">
      <c r="A167" s="4"/>
      <c r="B167" s="4"/>
      <c r="C167" s="4"/>
      <c r="D167" s="4"/>
      <c r="E167" s="4"/>
      <c r="F167" s="4"/>
      <c r="G167" s="4"/>
      <c r="H167" s="4"/>
      <c r="I167" s="4"/>
      <c r="J167" s="4"/>
      <c r="K167" s="4"/>
      <c r="L167" s="4"/>
      <c r="M167" s="4"/>
      <c r="N167" s="4"/>
    </row>
    <row r="168" spans="1:14" x14ac:dyDescent="0.25">
      <c r="A168" s="4"/>
      <c r="B168" s="4"/>
      <c r="C168" s="4"/>
      <c r="D168" s="4"/>
      <c r="E168" s="4"/>
      <c r="F168" s="4"/>
      <c r="G168" s="4"/>
      <c r="H168" s="4"/>
      <c r="I168" s="4"/>
      <c r="J168" s="4"/>
      <c r="K168" s="4"/>
      <c r="L168" s="4"/>
      <c r="M168" s="4"/>
      <c r="N168" s="4"/>
    </row>
    <row r="169" spans="1:14" x14ac:dyDescent="0.25">
      <c r="A169" s="4"/>
      <c r="B169" s="4"/>
      <c r="C169" s="4"/>
      <c r="D169" s="4"/>
      <c r="E169" s="4"/>
      <c r="F169" s="4"/>
      <c r="G169" s="4"/>
      <c r="H169" s="4"/>
      <c r="I169" s="4"/>
      <c r="J169" s="4"/>
      <c r="K169" s="4"/>
      <c r="L169" s="4"/>
      <c r="M169" s="4"/>
      <c r="N169" s="4"/>
    </row>
    <row r="170" spans="1:14" x14ac:dyDescent="0.25">
      <c r="A170" s="4"/>
      <c r="B170" s="4"/>
      <c r="C170" s="4"/>
      <c r="D170" s="4"/>
      <c r="E170" s="4"/>
      <c r="F170" s="4"/>
      <c r="G170" s="4"/>
      <c r="H170" s="4"/>
      <c r="I170" s="4"/>
      <c r="J170" s="4"/>
      <c r="K170" s="4"/>
      <c r="L170" s="4"/>
      <c r="M170" s="4"/>
      <c r="N170" s="4"/>
    </row>
    <row r="171" spans="1:14" x14ac:dyDescent="0.25">
      <c r="A171" s="4"/>
      <c r="B171" s="4"/>
      <c r="C171" s="4"/>
      <c r="D171" s="4"/>
      <c r="E171" s="4"/>
      <c r="F171" s="4"/>
      <c r="G171" s="4"/>
      <c r="H171" s="4"/>
      <c r="I171" s="4"/>
      <c r="J171" s="4"/>
      <c r="K171" s="4"/>
      <c r="L171" s="4"/>
      <c r="M171" s="4"/>
      <c r="N171" s="4"/>
    </row>
    <row r="172" spans="1:14" x14ac:dyDescent="0.25">
      <c r="A172" s="4"/>
      <c r="B172" s="4"/>
      <c r="C172" s="4"/>
      <c r="D172" s="4"/>
      <c r="E172" s="4"/>
      <c r="F172" s="4"/>
      <c r="G172" s="4"/>
      <c r="H172" s="4"/>
      <c r="I172" s="4"/>
      <c r="J172" s="4"/>
      <c r="K172" s="4"/>
      <c r="L172" s="4"/>
      <c r="M172" s="4"/>
      <c r="N172" s="4"/>
    </row>
    <row r="173" spans="1:14" x14ac:dyDescent="0.25">
      <c r="A173" s="4"/>
      <c r="B173" s="4"/>
      <c r="C173" s="4"/>
      <c r="D173" s="4"/>
      <c r="E173" s="4"/>
      <c r="F173" s="4"/>
      <c r="G173" s="4"/>
      <c r="H173" s="4"/>
      <c r="I173" s="4"/>
      <c r="J173" s="4"/>
      <c r="K173" s="4"/>
      <c r="L173" s="4"/>
      <c r="M173" s="4"/>
      <c r="N173" s="4"/>
    </row>
    <row r="174" spans="1:14" x14ac:dyDescent="0.25">
      <c r="A174" s="4"/>
      <c r="B174" s="4"/>
      <c r="C174" s="4"/>
      <c r="D174" s="4"/>
      <c r="E174" s="4"/>
      <c r="F174" s="4"/>
      <c r="G174" s="4"/>
      <c r="H174" s="4"/>
      <c r="I174" s="4"/>
      <c r="J174" s="4"/>
      <c r="K174" s="4"/>
      <c r="L174" s="4"/>
      <c r="M174" s="4"/>
      <c r="N174" s="4"/>
    </row>
    <row r="175" spans="1:14" x14ac:dyDescent="0.25">
      <c r="A175" s="4"/>
      <c r="B175" s="4"/>
      <c r="C175" s="4"/>
      <c r="D175" s="4"/>
      <c r="E175" s="4"/>
      <c r="F175" s="4"/>
      <c r="G175" s="4"/>
      <c r="H175" s="4"/>
      <c r="I175" s="4"/>
      <c r="J175" s="4"/>
      <c r="K175" s="4"/>
      <c r="L175" s="4"/>
      <c r="M175" s="4"/>
      <c r="N175" s="4"/>
    </row>
    <row r="176" spans="1:14" x14ac:dyDescent="0.25">
      <c r="A176" s="4"/>
      <c r="B176" s="4"/>
      <c r="C176" s="4"/>
      <c r="D176" s="4"/>
      <c r="E176" s="4"/>
      <c r="F176" s="4"/>
      <c r="G176" s="4"/>
      <c r="H176" s="4"/>
      <c r="I176" s="4"/>
      <c r="J176" s="4"/>
      <c r="K176" s="4"/>
      <c r="L176" s="4"/>
      <c r="M176" s="4"/>
      <c r="N176" s="4"/>
    </row>
    <row r="177" spans="1:14" x14ac:dyDescent="0.25">
      <c r="A177" s="4"/>
      <c r="B177" s="4"/>
      <c r="C177" s="4"/>
      <c r="D177" s="4"/>
      <c r="E177" s="4"/>
      <c r="F177" s="4"/>
      <c r="G177" s="4"/>
      <c r="H177" s="4"/>
      <c r="I177" s="4"/>
      <c r="J177" s="4"/>
      <c r="K177" s="4"/>
      <c r="L177" s="4"/>
      <c r="M177" s="4"/>
      <c r="N177" s="4"/>
    </row>
    <row r="178" spans="1:14" x14ac:dyDescent="0.25">
      <c r="A178" s="4"/>
      <c r="B178" s="4"/>
      <c r="C178" s="4"/>
      <c r="D178" s="4"/>
      <c r="E178" s="4"/>
      <c r="F178" s="4"/>
      <c r="G178" s="4"/>
      <c r="H178" s="4"/>
      <c r="I178" s="4"/>
      <c r="J178" s="4"/>
      <c r="K178" s="4"/>
      <c r="L178" s="4"/>
      <c r="M178" s="4"/>
      <c r="N178" s="4"/>
    </row>
    <row r="179" spans="1:14" x14ac:dyDescent="0.25">
      <c r="A179" s="4"/>
      <c r="B179" s="4"/>
      <c r="C179" s="4"/>
      <c r="D179" s="4"/>
      <c r="E179" s="4"/>
      <c r="F179" s="4"/>
      <c r="G179" s="4"/>
      <c r="H179" s="4"/>
      <c r="I179" s="4"/>
      <c r="J179" s="4"/>
      <c r="K179" s="4"/>
      <c r="L179" s="4"/>
      <c r="M179" s="4"/>
      <c r="N179" s="4"/>
    </row>
    <row r="180" spans="1:14" x14ac:dyDescent="0.25">
      <c r="A180" s="4"/>
      <c r="B180" s="4"/>
      <c r="C180" s="4"/>
      <c r="D180" s="4"/>
      <c r="E180" s="4"/>
      <c r="F180" s="4"/>
      <c r="G180" s="4"/>
      <c r="H180" s="4"/>
      <c r="I180" s="4"/>
      <c r="J180" s="4"/>
      <c r="K180" s="4"/>
      <c r="L180" s="4"/>
      <c r="M180" s="4"/>
      <c r="N180" s="4"/>
    </row>
    <row r="181" spans="1:14" x14ac:dyDescent="0.25">
      <c r="A181" s="4"/>
      <c r="B181" s="4"/>
      <c r="C181" s="4"/>
      <c r="D181" s="4"/>
      <c r="E181" s="4"/>
      <c r="F181" s="4"/>
      <c r="G181" s="4"/>
      <c r="H181" s="4"/>
      <c r="I181" s="4"/>
      <c r="J181" s="4"/>
      <c r="K181" s="4"/>
      <c r="L181" s="4"/>
      <c r="M181" s="4"/>
      <c r="N181" s="4"/>
    </row>
    <row r="182" spans="1:14" x14ac:dyDescent="0.25">
      <c r="A182" s="4"/>
      <c r="B182" s="4"/>
      <c r="C182" s="4"/>
      <c r="D182" s="4"/>
      <c r="E182" s="4"/>
      <c r="F182" s="4"/>
      <c r="G182" s="4"/>
      <c r="H182" s="4"/>
      <c r="I182" s="4"/>
      <c r="J182" s="4"/>
      <c r="K182" s="4"/>
      <c r="L182" s="4"/>
      <c r="M182" s="4"/>
      <c r="N182" s="4"/>
    </row>
    <row r="183" spans="1:14" x14ac:dyDescent="0.25">
      <c r="A183" s="4"/>
      <c r="B183" s="4"/>
      <c r="C183" s="4"/>
      <c r="D183" s="4"/>
      <c r="E183" s="4"/>
      <c r="F183" s="4"/>
      <c r="G183" s="4"/>
      <c r="H183" s="4"/>
      <c r="I183" s="4"/>
      <c r="J183" s="4"/>
      <c r="K183" s="4"/>
      <c r="L183" s="4"/>
      <c r="M183" s="4"/>
      <c r="N183" s="4"/>
    </row>
    <row r="184" spans="1:14" x14ac:dyDescent="0.25">
      <c r="A184" s="4"/>
      <c r="B184" s="4"/>
      <c r="C184" s="4"/>
      <c r="D184" s="4"/>
      <c r="E184" s="4"/>
      <c r="F184" s="4"/>
      <c r="G184" s="4"/>
      <c r="H184" s="4"/>
      <c r="I184" s="4"/>
      <c r="J184" s="4"/>
      <c r="K184" s="4"/>
      <c r="L184" s="4"/>
      <c r="M184" s="4"/>
      <c r="N184" s="4"/>
    </row>
    <row r="185" spans="1:14" x14ac:dyDescent="0.25">
      <c r="A185" s="4"/>
      <c r="B185" s="4"/>
      <c r="C185" s="4"/>
      <c r="D185" s="4"/>
      <c r="E185" s="4"/>
      <c r="F185" s="4"/>
      <c r="G185" s="4"/>
      <c r="H185" s="4"/>
      <c r="I185" s="4"/>
      <c r="J185" s="4"/>
      <c r="K185" s="4"/>
      <c r="L185" s="4"/>
      <c r="M185" s="4"/>
      <c r="N185" s="4"/>
    </row>
    <row r="186" spans="1:14" x14ac:dyDescent="0.25">
      <c r="A186" s="4"/>
      <c r="B186" s="4"/>
      <c r="C186" s="4"/>
      <c r="D186" s="4"/>
      <c r="E186" s="4"/>
      <c r="F186" s="4"/>
      <c r="G186" s="4"/>
      <c r="H186" s="4"/>
      <c r="I186" s="4"/>
      <c r="J186" s="4"/>
      <c r="K186" s="4"/>
      <c r="L186" s="4"/>
      <c r="M186" s="4"/>
      <c r="N186" s="4"/>
    </row>
    <row r="187" spans="1:14" x14ac:dyDescent="0.25">
      <c r="A187" s="4"/>
      <c r="B187" s="4"/>
      <c r="C187" s="4"/>
      <c r="D187" s="4"/>
      <c r="E187" s="4"/>
      <c r="F187" s="4"/>
      <c r="G187" s="4"/>
      <c r="H187" s="4"/>
      <c r="I187" s="4"/>
      <c r="J187" s="4"/>
      <c r="K187" s="4"/>
      <c r="L187" s="4"/>
      <c r="M187" s="4"/>
      <c r="N187" s="4"/>
    </row>
    <row r="188" spans="1:14" x14ac:dyDescent="0.25">
      <c r="A188" s="4"/>
      <c r="B188" s="4"/>
      <c r="C188" s="4"/>
      <c r="D188" s="4"/>
      <c r="E188" s="4"/>
      <c r="F188" s="4"/>
      <c r="G188" s="4"/>
      <c r="H188" s="4"/>
      <c r="I188" s="4"/>
      <c r="J188" s="4"/>
      <c r="K188" s="4"/>
      <c r="L188" s="4"/>
      <c r="M188" s="4"/>
      <c r="N188" s="4"/>
    </row>
    <row r="189" spans="1:14" x14ac:dyDescent="0.25">
      <c r="A189" s="4"/>
      <c r="B189" s="4"/>
      <c r="C189" s="4"/>
      <c r="D189" s="4"/>
      <c r="E189" s="4"/>
      <c r="F189" s="4"/>
      <c r="G189" s="4"/>
      <c r="H189" s="4"/>
      <c r="I189" s="4"/>
      <c r="J189" s="4"/>
      <c r="K189" s="4"/>
      <c r="L189" s="4"/>
      <c r="M189" s="4"/>
      <c r="N189" s="4"/>
    </row>
    <row r="190" spans="1:14" x14ac:dyDescent="0.25">
      <c r="A190" s="4"/>
      <c r="B190" s="4"/>
      <c r="C190" s="4"/>
      <c r="D190" s="4"/>
      <c r="E190" s="4"/>
      <c r="F190" s="4"/>
      <c r="G190" s="4"/>
      <c r="H190" s="4"/>
      <c r="I190" s="4"/>
      <c r="J190" s="4"/>
      <c r="K190" s="4"/>
      <c r="L190" s="4"/>
      <c r="M190" s="4"/>
      <c r="N190" s="4"/>
    </row>
    <row r="191" spans="1:14" x14ac:dyDescent="0.25">
      <c r="A191" s="4"/>
      <c r="B191" s="4"/>
      <c r="C191" s="4"/>
      <c r="D191" s="4"/>
      <c r="E191" s="4"/>
      <c r="F191" s="4"/>
      <c r="G191" s="4"/>
      <c r="H191" s="4"/>
      <c r="I191" s="4"/>
      <c r="J191" s="4"/>
      <c r="K191" s="4"/>
      <c r="L191" s="4"/>
      <c r="M191" s="4"/>
      <c r="N191" s="4"/>
    </row>
    <row r="192" spans="1:14" x14ac:dyDescent="0.25">
      <c r="A192" s="4"/>
      <c r="B192" s="4"/>
      <c r="C192" s="4"/>
      <c r="D192" s="4"/>
      <c r="E192" s="4"/>
      <c r="F192" s="4"/>
      <c r="G192" s="4"/>
      <c r="H192" s="4"/>
      <c r="I192" s="4"/>
      <c r="J192" s="4"/>
      <c r="K192" s="4"/>
      <c r="L192" s="4"/>
      <c r="M192" s="4"/>
      <c r="N192" s="4"/>
    </row>
    <row r="193" spans="1:14" x14ac:dyDescent="0.25">
      <c r="A193" s="4"/>
      <c r="B193" s="4"/>
      <c r="C193" s="4"/>
      <c r="D193" s="4"/>
      <c r="E193" s="4"/>
      <c r="F193" s="4"/>
      <c r="G193" s="4"/>
      <c r="H193" s="4"/>
      <c r="I193" s="4"/>
      <c r="J193" s="4"/>
      <c r="K193" s="4"/>
      <c r="L193" s="4"/>
      <c r="M193" s="4"/>
      <c r="N193" s="4"/>
    </row>
    <row r="194" spans="1:14" x14ac:dyDescent="0.25">
      <c r="A194" s="4"/>
      <c r="B194" s="4"/>
      <c r="C194" s="4"/>
      <c r="D194" s="4"/>
      <c r="E194" s="4"/>
      <c r="F194" s="4"/>
      <c r="G194" s="4"/>
      <c r="H194" s="4"/>
      <c r="I194" s="4"/>
      <c r="J194" s="4"/>
      <c r="K194" s="4"/>
      <c r="L194" s="4"/>
      <c r="M194" s="4"/>
      <c r="N194" s="4"/>
    </row>
    <row r="195" spans="1:14" x14ac:dyDescent="0.25">
      <c r="A195" s="4"/>
      <c r="B195" s="4"/>
      <c r="C195" s="4"/>
      <c r="D195" s="4"/>
      <c r="E195" s="4"/>
      <c r="F195" s="4"/>
      <c r="G195" s="4"/>
      <c r="H195" s="4"/>
      <c r="I195" s="4"/>
      <c r="J195" s="4"/>
      <c r="K195" s="4"/>
      <c r="L195" s="4"/>
      <c r="M195" s="4"/>
      <c r="N195" s="4"/>
    </row>
    <row r="196" spans="1:14" x14ac:dyDescent="0.25">
      <c r="A196" s="4"/>
      <c r="B196" s="4"/>
      <c r="C196" s="4"/>
      <c r="D196" s="4"/>
      <c r="E196" s="4"/>
      <c r="F196" s="4"/>
      <c r="G196" s="4"/>
      <c r="H196" s="4"/>
      <c r="I196" s="4"/>
      <c r="J196" s="4"/>
      <c r="K196" s="4"/>
      <c r="L196" s="4"/>
      <c r="M196" s="4"/>
      <c r="N196" s="4"/>
    </row>
    <row r="197" spans="1:14" x14ac:dyDescent="0.25">
      <c r="A197" s="4"/>
      <c r="B197" s="4"/>
      <c r="C197" s="4"/>
      <c r="D197" s="4"/>
      <c r="E197" s="4"/>
      <c r="F197" s="4"/>
      <c r="G197" s="4"/>
      <c r="H197" s="4"/>
      <c r="I197" s="4"/>
      <c r="J197" s="4"/>
      <c r="K197" s="4"/>
      <c r="L197" s="4"/>
      <c r="M197" s="4"/>
      <c r="N197" s="4"/>
    </row>
    <row r="198" spans="1:14" x14ac:dyDescent="0.25">
      <c r="A198" s="4"/>
      <c r="B198" s="4"/>
      <c r="C198" s="4"/>
      <c r="D198" s="4"/>
      <c r="E198" s="4"/>
      <c r="F198" s="4"/>
      <c r="G198" s="4"/>
      <c r="H198" s="4"/>
      <c r="I198" s="4"/>
      <c r="J198" s="4"/>
      <c r="K198" s="4"/>
      <c r="L198" s="4"/>
      <c r="M198" s="4"/>
      <c r="N198" s="4"/>
    </row>
    <row r="199" spans="1:14" x14ac:dyDescent="0.25">
      <c r="A199" s="4"/>
      <c r="B199" s="4"/>
      <c r="C199" s="4"/>
      <c r="D199" s="4"/>
      <c r="E199" s="4"/>
      <c r="F199" s="4"/>
      <c r="G199" s="4"/>
      <c r="H199" s="4"/>
      <c r="I199" s="4"/>
      <c r="J199" s="4"/>
      <c r="K199" s="4"/>
      <c r="L199" s="4"/>
      <c r="M199" s="4"/>
      <c r="N199" s="4"/>
    </row>
    <row r="200" spans="1:14" x14ac:dyDescent="0.25">
      <c r="A200" s="4"/>
      <c r="B200" s="4"/>
      <c r="C200" s="4"/>
      <c r="D200" s="4"/>
      <c r="E200" s="4"/>
      <c r="F200" s="4"/>
      <c r="G200" s="4"/>
      <c r="H200" s="4"/>
      <c r="I200" s="4"/>
      <c r="J200" s="4"/>
      <c r="K200" s="4"/>
      <c r="L200" s="4"/>
      <c r="M200" s="4"/>
      <c r="N200" s="4"/>
    </row>
    <row r="201" spans="1:14" x14ac:dyDescent="0.25">
      <c r="A201" s="4"/>
      <c r="B201" s="4"/>
      <c r="C201" s="4"/>
      <c r="D201" s="4"/>
      <c r="E201" s="4"/>
      <c r="F201" s="4"/>
      <c r="G201" s="4"/>
      <c r="H201" s="4"/>
      <c r="I201" s="4"/>
      <c r="J201" s="4"/>
      <c r="K201" s="4"/>
      <c r="L201" s="4"/>
      <c r="M201" s="4"/>
      <c r="N201" s="4"/>
    </row>
    <row r="202" spans="1:14" x14ac:dyDescent="0.25">
      <c r="A202" s="4"/>
      <c r="B202" s="4"/>
      <c r="C202" s="4"/>
      <c r="D202" s="4"/>
      <c r="E202" s="4"/>
      <c r="F202" s="4"/>
      <c r="G202" s="4"/>
      <c r="H202" s="4"/>
      <c r="I202" s="4"/>
      <c r="J202" s="4"/>
      <c r="K202" s="4"/>
      <c r="L202" s="4"/>
      <c r="M202" s="4"/>
      <c r="N202" s="4"/>
    </row>
    <row r="203" spans="1:14" x14ac:dyDescent="0.25">
      <c r="A203" s="4"/>
      <c r="B203" s="4"/>
      <c r="C203" s="4"/>
      <c r="D203" s="4"/>
      <c r="E203" s="4"/>
      <c r="F203" s="4"/>
      <c r="G203" s="4"/>
      <c r="H203" s="4"/>
      <c r="I203" s="4"/>
      <c r="J203" s="4"/>
      <c r="K203" s="4"/>
      <c r="L203" s="4"/>
      <c r="M203" s="4"/>
      <c r="N203" s="4"/>
    </row>
    <row r="204" spans="1:14" x14ac:dyDescent="0.25">
      <c r="A204" s="4"/>
      <c r="B204" s="4"/>
      <c r="C204" s="4"/>
      <c r="D204" s="4"/>
      <c r="E204" s="4"/>
      <c r="F204" s="4"/>
      <c r="G204" s="4"/>
      <c r="H204" s="4"/>
      <c r="I204" s="4"/>
      <c r="J204" s="4"/>
      <c r="K204" s="4"/>
      <c r="L204" s="4"/>
      <c r="M204" s="4"/>
      <c r="N204" s="4"/>
    </row>
    <row r="205" spans="1:14" x14ac:dyDescent="0.25">
      <c r="A205" s="4"/>
      <c r="B205" s="4"/>
      <c r="C205" s="4"/>
      <c r="D205" s="4"/>
      <c r="E205" s="4"/>
      <c r="F205" s="4"/>
      <c r="G205" s="4"/>
      <c r="H205" s="4"/>
      <c r="I205" s="4"/>
      <c r="J205" s="4"/>
      <c r="K205" s="4"/>
      <c r="L205" s="4"/>
      <c r="M205" s="4"/>
      <c r="N205" s="4"/>
    </row>
    <row r="206" spans="1:14" x14ac:dyDescent="0.25">
      <c r="A206" s="4"/>
      <c r="B206" s="4"/>
      <c r="C206" s="4"/>
      <c r="D206" s="4"/>
      <c r="E206" s="4"/>
      <c r="F206" s="4"/>
      <c r="G206" s="4"/>
      <c r="H206" s="4"/>
      <c r="I206" s="4"/>
      <c r="J206" s="4"/>
      <c r="K206" s="4"/>
      <c r="L206" s="4"/>
      <c r="M206" s="4"/>
      <c r="N206" s="4"/>
    </row>
    <row r="207" spans="1:14" x14ac:dyDescent="0.25">
      <c r="A207" s="4"/>
      <c r="B207" s="4"/>
      <c r="C207" s="4"/>
      <c r="D207" s="4"/>
      <c r="E207" s="4"/>
      <c r="F207" s="4"/>
      <c r="G207" s="4"/>
      <c r="H207" s="4"/>
      <c r="I207" s="4"/>
      <c r="J207" s="4"/>
      <c r="K207" s="4"/>
      <c r="L207" s="4"/>
      <c r="M207" s="4"/>
      <c r="N207" s="4"/>
    </row>
    <row r="208" spans="1:14" x14ac:dyDescent="0.25">
      <c r="A208" s="4"/>
      <c r="B208" s="4"/>
      <c r="C208" s="4"/>
      <c r="D208" s="4"/>
      <c r="E208" s="4"/>
      <c r="F208" s="4"/>
      <c r="G208" s="4"/>
      <c r="H208" s="4"/>
      <c r="I208" s="4"/>
      <c r="J208" s="4"/>
      <c r="K208" s="4"/>
      <c r="L208" s="4"/>
      <c r="M208" s="4"/>
      <c r="N208" s="4"/>
    </row>
    <row r="209" spans="1:14" x14ac:dyDescent="0.25">
      <c r="A209" s="4"/>
      <c r="B209" s="4"/>
      <c r="C209" s="4"/>
      <c r="D209" s="4"/>
      <c r="E209" s="4"/>
      <c r="F209" s="4"/>
      <c r="G209" s="4"/>
      <c r="H209" s="4"/>
      <c r="I209" s="4"/>
      <c r="J209" s="4"/>
      <c r="K209" s="4"/>
      <c r="L209" s="4"/>
      <c r="M209" s="4"/>
      <c r="N209" s="4"/>
    </row>
    <row r="210" spans="1:14" x14ac:dyDescent="0.25">
      <c r="A210" s="4"/>
      <c r="B210" s="4"/>
      <c r="C210" s="4"/>
      <c r="D210" s="4"/>
      <c r="E210" s="4"/>
      <c r="F210" s="4"/>
      <c r="G210" s="4"/>
      <c r="H210" s="4"/>
      <c r="I210" s="4"/>
      <c r="J210" s="4"/>
      <c r="K210" s="4"/>
      <c r="L210" s="4"/>
      <c r="M210" s="4"/>
      <c r="N210" s="4"/>
    </row>
    <row r="211" spans="1:14" x14ac:dyDescent="0.25">
      <c r="A211" s="4"/>
      <c r="B211" s="4"/>
      <c r="C211" s="4"/>
      <c r="D211" s="4"/>
      <c r="E211" s="4"/>
      <c r="F211" s="4"/>
      <c r="G211" s="4"/>
      <c r="H211" s="4"/>
      <c r="I211" s="4"/>
      <c r="J211" s="4"/>
      <c r="K211" s="4"/>
      <c r="L211" s="4"/>
      <c r="M211" s="4"/>
      <c r="N211" s="4"/>
    </row>
    <row r="212" spans="1:14" x14ac:dyDescent="0.25">
      <c r="A212" s="4"/>
      <c r="B212" s="4"/>
      <c r="C212" s="4"/>
      <c r="D212" s="4"/>
      <c r="E212" s="4"/>
      <c r="F212" s="4"/>
      <c r="G212" s="4"/>
      <c r="H212" s="4"/>
      <c r="I212" s="4"/>
      <c r="J212" s="4"/>
      <c r="K212" s="4"/>
      <c r="L212" s="4"/>
      <c r="M212" s="4"/>
      <c r="N212" s="4"/>
    </row>
    <row r="213" spans="1:14" x14ac:dyDescent="0.25">
      <c r="A213" s="4"/>
      <c r="B213" s="4"/>
      <c r="C213" s="4"/>
      <c r="D213" s="4"/>
      <c r="E213" s="4"/>
      <c r="F213" s="4"/>
      <c r="G213" s="4"/>
      <c r="H213" s="4"/>
      <c r="I213" s="4"/>
      <c r="J213" s="4"/>
      <c r="K213" s="4"/>
      <c r="L213" s="4"/>
      <c r="M213" s="4"/>
      <c r="N213" s="4"/>
    </row>
    <row r="214" spans="1:14" x14ac:dyDescent="0.25">
      <c r="A214" s="4"/>
      <c r="B214" s="4"/>
      <c r="C214" s="4"/>
      <c r="D214" s="4"/>
      <c r="E214" s="4"/>
      <c r="F214" s="4"/>
      <c r="G214" s="4"/>
      <c r="H214" s="4"/>
      <c r="I214" s="4"/>
      <c r="J214" s="4"/>
      <c r="K214" s="4"/>
      <c r="L214" s="4"/>
      <c r="M214" s="4"/>
      <c r="N214" s="4"/>
    </row>
    <row r="215" spans="1:14" x14ac:dyDescent="0.25">
      <c r="A215" s="4"/>
      <c r="B215" s="4"/>
      <c r="C215" s="4"/>
      <c r="D215" s="4"/>
      <c r="E215" s="4"/>
      <c r="F215" s="4"/>
      <c r="G215" s="4"/>
      <c r="H215" s="4"/>
      <c r="I215" s="4"/>
      <c r="J215" s="4"/>
      <c r="K215" s="4"/>
      <c r="L215" s="4"/>
      <c r="M215" s="4"/>
      <c r="N215" s="4"/>
    </row>
    <row r="216" spans="1:14" x14ac:dyDescent="0.25">
      <c r="A216" s="4"/>
      <c r="B216" s="4"/>
      <c r="C216" s="4"/>
      <c r="D216" s="4"/>
      <c r="E216" s="4"/>
      <c r="F216" s="4"/>
      <c r="G216" s="4"/>
      <c r="H216" s="4"/>
      <c r="I216" s="4"/>
      <c r="J216" s="4"/>
      <c r="K216" s="4"/>
      <c r="L216" s="4"/>
      <c r="M216" s="4"/>
      <c r="N216" s="4"/>
    </row>
    <row r="217" spans="1:14" x14ac:dyDescent="0.25">
      <c r="A217" s="4"/>
      <c r="B217" s="4"/>
      <c r="C217" s="4"/>
      <c r="D217" s="4"/>
      <c r="E217" s="4"/>
      <c r="F217" s="4"/>
      <c r="G217" s="4"/>
      <c r="H217" s="4"/>
      <c r="I217" s="4"/>
      <c r="J217" s="4"/>
      <c r="K217" s="4"/>
      <c r="L217" s="4"/>
      <c r="M217" s="4"/>
      <c r="N217" s="4"/>
    </row>
    <row r="218" spans="1:14" x14ac:dyDescent="0.25">
      <c r="A218" s="4"/>
      <c r="B218" s="4"/>
      <c r="C218" s="4"/>
      <c r="D218" s="4"/>
      <c r="E218" s="4"/>
      <c r="F218" s="4"/>
      <c r="G218" s="4"/>
      <c r="H218" s="4"/>
      <c r="I218" s="4"/>
      <c r="J218" s="4"/>
      <c r="K218" s="4"/>
      <c r="L218" s="4"/>
      <c r="M218" s="4"/>
      <c r="N218" s="4"/>
    </row>
  </sheetData>
  <pageMargins left="0.7" right="0.7" top="0.75" bottom="0.75" header="0.3" footer="0.3"/>
  <pageSetup orientation="landscape" horizontalDpi="300" verticalDpi="3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21363-2C45-4957-9C7F-C68197BF42A9}">
  <dimension ref="A1:Q805"/>
  <sheetViews>
    <sheetView workbookViewId="0">
      <selection activeCell="M1" sqref="M1:M1048576"/>
    </sheetView>
  </sheetViews>
  <sheetFormatPr defaultRowHeight="13.8" x14ac:dyDescent="0.25"/>
  <cols>
    <col min="1" max="1" width="9.21875" bestFit="1" customWidth="1"/>
    <col min="13" max="13" width="11.109375" bestFit="1" customWidth="1"/>
  </cols>
  <sheetData>
    <row r="1" spans="1:17" x14ac:dyDescent="0.25">
      <c r="A1" t="s">
        <v>282</v>
      </c>
      <c r="D1" t="s">
        <v>283</v>
      </c>
      <c r="G1" t="s">
        <v>284</v>
      </c>
      <c r="M1" t="s">
        <v>299</v>
      </c>
    </row>
    <row r="2" spans="1:17" x14ac:dyDescent="0.25">
      <c r="M2">
        <f>Table1[[#This Row],[Aboard]]-Table1[[#This Row],[Fatalities (air)]]</f>
        <v>14</v>
      </c>
      <c r="O2" s="8"/>
      <c r="P2" s="9"/>
      <c r="Q2" s="10"/>
    </row>
    <row r="3" spans="1:17" x14ac:dyDescent="0.25">
      <c r="A3">
        <f>COUNT(Table1[Crash_Count])</f>
        <v>804</v>
      </c>
      <c r="D3">
        <f>SUM(Table1[Fatalities (air)])</f>
        <v>4541</v>
      </c>
      <c r="G3">
        <f>SUM(Table1[Aboard])</f>
        <v>6071</v>
      </c>
      <c r="M3">
        <f>Table1[[#This Row],[Aboard]]-Table1[[#This Row],[Fatalities (air)]]</f>
        <v>0</v>
      </c>
      <c r="O3" s="11"/>
      <c r="P3" s="12"/>
      <c r="Q3" s="13"/>
    </row>
    <row r="4" spans="1:17" x14ac:dyDescent="0.25">
      <c r="M4">
        <f>Table1[[#This Row],[Aboard]]-Table1[[#This Row],[Fatalities (air)]]</f>
        <v>0</v>
      </c>
      <c r="O4" s="11"/>
      <c r="P4" s="12"/>
      <c r="Q4" s="13"/>
    </row>
    <row r="5" spans="1:17" x14ac:dyDescent="0.25">
      <c r="M5">
        <f>Table1[[#This Row],[Aboard]]-Table1[[#This Row],[Fatalities (air)]]</f>
        <v>0</v>
      </c>
      <c r="O5" s="11"/>
      <c r="P5" s="12"/>
      <c r="Q5" s="13"/>
    </row>
    <row r="6" spans="1:17" x14ac:dyDescent="0.25">
      <c r="M6">
        <f>Table1[[#This Row],[Aboard]]-Table1[[#This Row],[Fatalities (air)]]</f>
        <v>5</v>
      </c>
      <c r="O6" s="11"/>
      <c r="P6" s="12"/>
      <c r="Q6" s="13"/>
    </row>
    <row r="7" spans="1:17" x14ac:dyDescent="0.25">
      <c r="M7">
        <f>Table1[[#This Row],[Aboard]]-Table1[[#This Row],[Fatalities (air)]]</f>
        <v>0</v>
      </c>
      <c r="O7" s="11"/>
      <c r="P7" s="12"/>
      <c r="Q7" s="13"/>
    </row>
    <row r="8" spans="1:17" x14ac:dyDescent="0.25">
      <c r="M8">
        <f>Table1[[#This Row],[Aboard]]-Table1[[#This Row],[Fatalities (air)]]</f>
        <v>5</v>
      </c>
      <c r="O8" s="11"/>
      <c r="P8" s="12"/>
      <c r="Q8" s="13"/>
    </row>
    <row r="9" spans="1:17" x14ac:dyDescent="0.25">
      <c r="M9">
        <f>Table1[[#This Row],[Aboard]]-Table1[[#This Row],[Fatalities (air)]]</f>
        <v>108</v>
      </c>
      <c r="O9" s="11"/>
      <c r="P9" s="12"/>
      <c r="Q9" s="13"/>
    </row>
    <row r="10" spans="1:17" x14ac:dyDescent="0.25">
      <c r="M10">
        <f>Table1[[#This Row],[Aboard]]-Table1[[#This Row],[Fatalities (air)]]</f>
        <v>0</v>
      </c>
      <c r="O10" s="11"/>
      <c r="P10" s="12"/>
      <c r="Q10" s="13"/>
    </row>
    <row r="11" spans="1:17" x14ac:dyDescent="0.25">
      <c r="M11">
        <f>Table1[[#This Row],[Aboard]]-Table1[[#This Row],[Fatalities (air)]]</f>
        <v>0</v>
      </c>
      <c r="O11" s="11"/>
      <c r="P11" s="12"/>
      <c r="Q11" s="13"/>
    </row>
    <row r="12" spans="1:17" x14ac:dyDescent="0.25">
      <c r="M12">
        <f>Table1[[#This Row],[Aboard]]-Table1[[#This Row],[Fatalities (air)]]</f>
        <v>0</v>
      </c>
      <c r="O12" s="11"/>
      <c r="P12" s="12"/>
      <c r="Q12" s="13"/>
    </row>
    <row r="13" spans="1:17" x14ac:dyDescent="0.25">
      <c r="M13">
        <f>Table1[[#This Row],[Aboard]]-Table1[[#This Row],[Fatalities (air)]]</f>
        <v>3</v>
      </c>
      <c r="O13" s="11"/>
      <c r="P13" s="12"/>
      <c r="Q13" s="13"/>
    </row>
    <row r="14" spans="1:17" x14ac:dyDescent="0.25">
      <c r="M14">
        <f>Table1[[#This Row],[Aboard]]-Table1[[#This Row],[Fatalities (air)]]</f>
        <v>0</v>
      </c>
      <c r="O14" s="11"/>
      <c r="P14" s="12"/>
      <c r="Q14" s="13"/>
    </row>
    <row r="15" spans="1:17" x14ac:dyDescent="0.25">
      <c r="M15">
        <f>Table1[[#This Row],[Aboard]]-Table1[[#This Row],[Fatalities (air)]]</f>
        <v>0</v>
      </c>
      <c r="O15" s="11"/>
      <c r="P15" s="12"/>
      <c r="Q15" s="13"/>
    </row>
    <row r="16" spans="1:17" x14ac:dyDescent="0.25">
      <c r="M16">
        <f>Table1[[#This Row],[Aboard]]-Table1[[#This Row],[Fatalities (air)]]</f>
        <v>16</v>
      </c>
      <c r="O16" s="11"/>
      <c r="P16" s="12"/>
      <c r="Q16" s="13"/>
    </row>
    <row r="17" spans="13:17" x14ac:dyDescent="0.25">
      <c r="M17">
        <f>Table1[[#This Row],[Aboard]]-Table1[[#This Row],[Fatalities (air)]]</f>
        <v>0</v>
      </c>
      <c r="O17" s="11"/>
      <c r="P17" s="12"/>
      <c r="Q17" s="13"/>
    </row>
    <row r="18" spans="13:17" x14ac:dyDescent="0.25">
      <c r="M18">
        <f>Table1[[#This Row],[Aboard]]-Table1[[#This Row],[Fatalities (air)]]</f>
        <v>0</v>
      </c>
      <c r="O18" s="11"/>
      <c r="P18" s="12"/>
      <c r="Q18" s="13"/>
    </row>
    <row r="19" spans="13:17" x14ac:dyDescent="0.25">
      <c r="M19">
        <f>Table1[[#This Row],[Aboard]]-Table1[[#This Row],[Fatalities (air)]]</f>
        <v>8</v>
      </c>
      <c r="O19" s="14"/>
      <c r="P19" s="15"/>
      <c r="Q19" s="16"/>
    </row>
    <row r="20" spans="13:17" x14ac:dyDescent="0.25">
      <c r="M20">
        <f>Table1[[#This Row],[Aboard]]-Table1[[#This Row],[Fatalities (air)]]</f>
        <v>0</v>
      </c>
    </row>
    <row r="21" spans="13:17" x14ac:dyDescent="0.25">
      <c r="M21">
        <f>Table1[[#This Row],[Aboard]]-Table1[[#This Row],[Fatalities (air)]]</f>
        <v>129</v>
      </c>
    </row>
    <row r="22" spans="13:17" x14ac:dyDescent="0.25">
      <c r="M22">
        <f>Table1[[#This Row],[Aboard]]-Table1[[#This Row],[Fatalities (air)]]</f>
        <v>170</v>
      </c>
    </row>
    <row r="23" spans="13:17" x14ac:dyDescent="0.25">
      <c r="M23">
        <f>Table1[[#This Row],[Aboard]]-Table1[[#This Row],[Fatalities (air)]]</f>
        <v>0</v>
      </c>
    </row>
    <row r="24" spans="13:17" x14ac:dyDescent="0.25">
      <c r="M24">
        <f>Table1[[#This Row],[Aboard]]-Table1[[#This Row],[Fatalities (air)]]</f>
        <v>5</v>
      </c>
    </row>
    <row r="25" spans="13:17" x14ac:dyDescent="0.25">
      <c r="M25">
        <f>Table1[[#This Row],[Aboard]]-Table1[[#This Row],[Fatalities (air)]]</f>
        <v>0</v>
      </c>
    </row>
    <row r="26" spans="13:17" x14ac:dyDescent="0.25">
      <c r="M26">
        <f>Table1[[#This Row],[Aboard]]-Table1[[#This Row],[Fatalities (air)]]</f>
        <v>0</v>
      </c>
    </row>
    <row r="27" spans="13:17" x14ac:dyDescent="0.25">
      <c r="M27">
        <f>Table1[[#This Row],[Aboard]]-Table1[[#This Row],[Fatalities (air)]]</f>
        <v>58</v>
      </c>
    </row>
    <row r="28" spans="13:17" x14ac:dyDescent="0.25">
      <c r="M28">
        <f>Table1[[#This Row],[Aboard]]-Table1[[#This Row],[Fatalities (air)]]</f>
        <v>0</v>
      </c>
    </row>
    <row r="29" spans="13:17" x14ac:dyDescent="0.25">
      <c r="M29">
        <f>Table1[[#This Row],[Aboard]]-Table1[[#This Row],[Fatalities (air)]]</f>
        <v>0</v>
      </c>
    </row>
    <row r="30" spans="13:17" x14ac:dyDescent="0.25">
      <c r="M30">
        <f>Table1[[#This Row],[Aboard]]-Table1[[#This Row],[Fatalities (air)]]</f>
        <v>13</v>
      </c>
    </row>
    <row r="31" spans="13:17" x14ac:dyDescent="0.25">
      <c r="M31">
        <f>Table1[[#This Row],[Aboard]]-Table1[[#This Row],[Fatalities (air)]]</f>
        <v>0</v>
      </c>
    </row>
    <row r="32" spans="13:17" x14ac:dyDescent="0.25">
      <c r="M32">
        <f>Table1[[#This Row],[Aboard]]-Table1[[#This Row],[Fatalities (air)]]</f>
        <v>1</v>
      </c>
    </row>
    <row r="33" spans="13:13" x14ac:dyDescent="0.25">
      <c r="M33">
        <f>Table1[[#This Row],[Aboard]]-Table1[[#This Row],[Fatalities (air)]]</f>
        <v>0</v>
      </c>
    </row>
    <row r="34" spans="13:13" x14ac:dyDescent="0.25">
      <c r="M34">
        <f>Table1[[#This Row],[Aboard]]-Table1[[#This Row],[Fatalities (air)]]</f>
        <v>0</v>
      </c>
    </row>
    <row r="35" spans="13:13" x14ac:dyDescent="0.25">
      <c r="M35">
        <f>Table1[[#This Row],[Aboard]]-Table1[[#This Row],[Fatalities (air)]]</f>
        <v>0</v>
      </c>
    </row>
    <row r="36" spans="13:13" x14ac:dyDescent="0.25">
      <c r="M36">
        <f>Table1[[#This Row],[Aboard]]-Table1[[#This Row],[Fatalities (air)]]</f>
        <v>0</v>
      </c>
    </row>
    <row r="37" spans="13:13" x14ac:dyDescent="0.25">
      <c r="M37">
        <f>Table1[[#This Row],[Aboard]]-Table1[[#This Row],[Fatalities (air)]]</f>
        <v>2</v>
      </c>
    </row>
    <row r="38" spans="13:13" x14ac:dyDescent="0.25">
      <c r="M38">
        <f>Table1[[#This Row],[Aboard]]-Table1[[#This Row],[Fatalities (air)]]</f>
        <v>0</v>
      </c>
    </row>
    <row r="39" spans="13:13" x14ac:dyDescent="0.25">
      <c r="M39">
        <f>Table1[[#This Row],[Aboard]]-Table1[[#This Row],[Fatalities (air)]]</f>
        <v>0</v>
      </c>
    </row>
    <row r="40" spans="13:13" x14ac:dyDescent="0.25">
      <c r="M40">
        <f>Table1[[#This Row],[Aboard]]-Table1[[#This Row],[Fatalities (air)]]</f>
        <v>4</v>
      </c>
    </row>
    <row r="41" spans="13:13" x14ac:dyDescent="0.25">
      <c r="M41">
        <f>Table1[[#This Row],[Aboard]]-Table1[[#This Row],[Fatalities (air)]]</f>
        <v>3</v>
      </c>
    </row>
    <row r="42" spans="13:13" x14ac:dyDescent="0.25">
      <c r="M42">
        <f>Table1[[#This Row],[Aboard]]-Table1[[#This Row],[Fatalities (air)]]</f>
        <v>0</v>
      </c>
    </row>
    <row r="43" spans="13:13" x14ac:dyDescent="0.25">
      <c r="M43">
        <f>Table1[[#This Row],[Aboard]]-Table1[[#This Row],[Fatalities (air)]]</f>
        <v>0</v>
      </c>
    </row>
    <row r="44" spans="13:13" x14ac:dyDescent="0.25">
      <c r="M44">
        <f>Table1[[#This Row],[Aboard]]-Table1[[#This Row],[Fatalities (air)]]</f>
        <v>9</v>
      </c>
    </row>
    <row r="45" spans="13:13" x14ac:dyDescent="0.25">
      <c r="M45">
        <f>Table1[[#This Row],[Aboard]]-Table1[[#This Row],[Fatalities (air)]]</f>
        <v>0</v>
      </c>
    </row>
    <row r="46" spans="13:13" x14ac:dyDescent="0.25">
      <c r="M46">
        <f>Table1[[#This Row],[Aboard]]-Table1[[#This Row],[Fatalities (air)]]</f>
        <v>0</v>
      </c>
    </row>
    <row r="47" spans="13:13" x14ac:dyDescent="0.25">
      <c r="M47">
        <f>Table1[[#This Row],[Aboard]]-Table1[[#This Row],[Fatalities (air)]]</f>
        <v>0</v>
      </c>
    </row>
    <row r="48" spans="13:13" x14ac:dyDescent="0.25">
      <c r="M48">
        <f>Table1[[#This Row],[Aboard]]-Table1[[#This Row],[Fatalities (air)]]</f>
        <v>8</v>
      </c>
    </row>
    <row r="49" spans="13:13" x14ac:dyDescent="0.25">
      <c r="M49">
        <f>Table1[[#This Row],[Aboard]]-Table1[[#This Row],[Fatalities (air)]]</f>
        <v>0</v>
      </c>
    </row>
    <row r="50" spans="13:13" x14ac:dyDescent="0.25">
      <c r="M50">
        <f>Table1[[#This Row],[Aboard]]-Table1[[#This Row],[Fatalities (air)]]</f>
        <v>0</v>
      </c>
    </row>
    <row r="51" spans="13:13" x14ac:dyDescent="0.25">
      <c r="M51">
        <f>Table1[[#This Row],[Aboard]]-Table1[[#This Row],[Fatalities (air)]]</f>
        <v>3</v>
      </c>
    </row>
    <row r="52" spans="13:13" x14ac:dyDescent="0.25">
      <c r="M52">
        <f>Table1[[#This Row],[Aboard]]-Table1[[#This Row],[Fatalities (air)]]</f>
        <v>0</v>
      </c>
    </row>
    <row r="53" spans="13:13" x14ac:dyDescent="0.25">
      <c r="M53">
        <f>Table1[[#This Row],[Aboard]]-Table1[[#This Row],[Fatalities (air)]]</f>
        <v>61</v>
      </c>
    </row>
    <row r="54" spans="13:13" x14ac:dyDescent="0.25">
      <c r="M54">
        <f>Table1[[#This Row],[Aboard]]-Table1[[#This Row],[Fatalities (air)]]</f>
        <v>0</v>
      </c>
    </row>
    <row r="55" spans="13:13" x14ac:dyDescent="0.25">
      <c r="M55">
        <f>Table1[[#This Row],[Aboard]]-Table1[[#This Row],[Fatalities (air)]]</f>
        <v>0</v>
      </c>
    </row>
    <row r="56" spans="13:13" x14ac:dyDescent="0.25">
      <c r="M56">
        <f>Table1[[#This Row],[Aboard]]-Table1[[#This Row],[Fatalities (air)]]</f>
        <v>0</v>
      </c>
    </row>
    <row r="57" spans="13:13" x14ac:dyDescent="0.25">
      <c r="M57">
        <f>Table1[[#This Row],[Aboard]]-Table1[[#This Row],[Fatalities (air)]]</f>
        <v>10</v>
      </c>
    </row>
    <row r="58" spans="13:13" x14ac:dyDescent="0.25">
      <c r="M58">
        <f>Table1[[#This Row],[Aboard]]-Table1[[#This Row],[Fatalities (air)]]</f>
        <v>0</v>
      </c>
    </row>
    <row r="59" spans="13:13" x14ac:dyDescent="0.25">
      <c r="M59">
        <f>Table1[[#This Row],[Aboard]]-Table1[[#This Row],[Fatalities (air)]]</f>
        <v>15</v>
      </c>
    </row>
    <row r="60" spans="13:13" x14ac:dyDescent="0.25">
      <c r="M60">
        <f>Table1[[#This Row],[Aboard]]-Table1[[#This Row],[Fatalities (air)]]</f>
        <v>0</v>
      </c>
    </row>
    <row r="61" spans="13:13" x14ac:dyDescent="0.25">
      <c r="M61">
        <f>Table1[[#This Row],[Aboard]]-Table1[[#This Row],[Fatalities (air)]]</f>
        <v>0</v>
      </c>
    </row>
    <row r="62" spans="13:13" x14ac:dyDescent="0.25">
      <c r="M62">
        <f>Table1[[#This Row],[Aboard]]-Table1[[#This Row],[Fatalities (air)]]</f>
        <v>0</v>
      </c>
    </row>
    <row r="63" spans="13:13" x14ac:dyDescent="0.25">
      <c r="M63">
        <f>Table1[[#This Row],[Aboard]]-Table1[[#This Row],[Fatalities (air)]]</f>
        <v>0</v>
      </c>
    </row>
    <row r="64" spans="13:13" x14ac:dyDescent="0.25">
      <c r="M64">
        <f>Table1[[#This Row],[Aboard]]-Table1[[#This Row],[Fatalities (air)]]</f>
        <v>5</v>
      </c>
    </row>
    <row r="65" spans="13:13" x14ac:dyDescent="0.25">
      <c r="M65">
        <f>Table1[[#This Row],[Aboard]]-Table1[[#This Row],[Fatalities (air)]]</f>
        <v>0</v>
      </c>
    </row>
    <row r="66" spans="13:13" x14ac:dyDescent="0.25">
      <c r="M66">
        <f>Table1[[#This Row],[Aboard]]-Table1[[#This Row],[Fatalities (air)]]</f>
        <v>0</v>
      </c>
    </row>
    <row r="67" spans="13:13" x14ac:dyDescent="0.25">
      <c r="M67">
        <f>Table1[[#This Row],[Aboard]]-Table1[[#This Row],[Fatalities (air)]]</f>
        <v>8</v>
      </c>
    </row>
    <row r="68" spans="13:13" x14ac:dyDescent="0.25">
      <c r="M68">
        <f>Table1[[#This Row],[Aboard]]-Table1[[#This Row],[Fatalities (air)]]</f>
        <v>0</v>
      </c>
    </row>
    <row r="69" spans="13:13" x14ac:dyDescent="0.25">
      <c r="M69">
        <f>Table1[[#This Row],[Aboard]]-Table1[[#This Row],[Fatalities (air)]]</f>
        <v>6</v>
      </c>
    </row>
    <row r="70" spans="13:13" x14ac:dyDescent="0.25">
      <c r="M70">
        <f>Table1[[#This Row],[Aboard]]-Table1[[#This Row],[Fatalities (air)]]</f>
        <v>8</v>
      </c>
    </row>
    <row r="71" spans="13:13" x14ac:dyDescent="0.25">
      <c r="M71">
        <f>Table1[[#This Row],[Aboard]]-Table1[[#This Row],[Fatalities (air)]]</f>
        <v>0</v>
      </c>
    </row>
    <row r="72" spans="13:13" x14ac:dyDescent="0.25">
      <c r="M72">
        <f>Table1[[#This Row],[Aboard]]-Table1[[#This Row],[Fatalities (air)]]</f>
        <v>3</v>
      </c>
    </row>
    <row r="73" spans="13:13" x14ac:dyDescent="0.25">
      <c r="M73">
        <f>Table1[[#This Row],[Aboard]]-Table1[[#This Row],[Fatalities (air)]]</f>
        <v>0</v>
      </c>
    </row>
    <row r="74" spans="13:13" x14ac:dyDescent="0.25">
      <c r="M74">
        <f>Table1[[#This Row],[Aboard]]-Table1[[#This Row],[Fatalities (air)]]</f>
        <v>0</v>
      </c>
    </row>
    <row r="75" spans="13:13" x14ac:dyDescent="0.25">
      <c r="M75">
        <f>Table1[[#This Row],[Aboard]]-Table1[[#This Row],[Fatalities (air)]]</f>
        <v>0</v>
      </c>
    </row>
    <row r="76" spans="13:13" x14ac:dyDescent="0.25">
      <c r="M76">
        <f>Table1[[#This Row],[Aboard]]-Table1[[#This Row],[Fatalities (air)]]</f>
        <v>0</v>
      </c>
    </row>
    <row r="77" spans="13:13" x14ac:dyDescent="0.25">
      <c r="M77">
        <f>Table1[[#This Row],[Aboard]]-Table1[[#This Row],[Fatalities (air)]]</f>
        <v>0</v>
      </c>
    </row>
    <row r="78" spans="13:13" x14ac:dyDescent="0.25">
      <c r="M78">
        <f>Table1[[#This Row],[Aboard]]-Table1[[#This Row],[Fatalities (air)]]</f>
        <v>0</v>
      </c>
    </row>
    <row r="79" spans="13:13" x14ac:dyDescent="0.25">
      <c r="M79">
        <f>Table1[[#This Row],[Aboard]]-Table1[[#This Row],[Fatalities (air)]]</f>
        <v>0</v>
      </c>
    </row>
    <row r="80" spans="13:13" x14ac:dyDescent="0.25">
      <c r="M80">
        <f>Table1[[#This Row],[Aboard]]-Table1[[#This Row],[Fatalities (air)]]</f>
        <v>0</v>
      </c>
    </row>
    <row r="81" spans="13:13" x14ac:dyDescent="0.25">
      <c r="M81">
        <f>Table1[[#This Row],[Aboard]]-Table1[[#This Row],[Fatalities (air)]]</f>
        <v>7</v>
      </c>
    </row>
    <row r="82" spans="13:13" x14ac:dyDescent="0.25">
      <c r="M82">
        <f>Table1[[#This Row],[Aboard]]-Table1[[#This Row],[Fatalities (air)]]</f>
        <v>0</v>
      </c>
    </row>
    <row r="83" spans="13:13" x14ac:dyDescent="0.25">
      <c r="M83">
        <f>Table1[[#This Row],[Aboard]]-Table1[[#This Row],[Fatalities (air)]]</f>
        <v>0</v>
      </c>
    </row>
    <row r="84" spans="13:13" x14ac:dyDescent="0.25">
      <c r="M84">
        <f>Table1[[#This Row],[Aboard]]-Table1[[#This Row],[Fatalities (air)]]</f>
        <v>0</v>
      </c>
    </row>
    <row r="85" spans="13:13" x14ac:dyDescent="0.25">
      <c r="M85">
        <f>Table1[[#This Row],[Aboard]]-Table1[[#This Row],[Fatalities (air)]]</f>
        <v>0</v>
      </c>
    </row>
    <row r="86" spans="13:13" x14ac:dyDescent="0.25">
      <c r="M86">
        <f>Table1[[#This Row],[Aboard]]-Table1[[#This Row],[Fatalities (air)]]</f>
        <v>0</v>
      </c>
    </row>
    <row r="87" spans="13:13" x14ac:dyDescent="0.25">
      <c r="M87">
        <f>Table1[[#This Row],[Aboard]]-Table1[[#This Row],[Fatalities (air)]]</f>
        <v>0</v>
      </c>
    </row>
    <row r="88" spans="13:13" x14ac:dyDescent="0.25">
      <c r="M88">
        <f>Table1[[#This Row],[Aboard]]-Table1[[#This Row],[Fatalities (air)]]</f>
        <v>0</v>
      </c>
    </row>
    <row r="89" spans="13:13" x14ac:dyDescent="0.25">
      <c r="M89">
        <f>Table1[[#This Row],[Aboard]]-Table1[[#This Row],[Fatalities (air)]]</f>
        <v>18</v>
      </c>
    </row>
    <row r="90" spans="13:13" x14ac:dyDescent="0.25">
      <c r="M90">
        <f>Table1[[#This Row],[Aboard]]-Table1[[#This Row],[Fatalities (air)]]</f>
        <v>0</v>
      </c>
    </row>
    <row r="91" spans="13:13" x14ac:dyDescent="0.25">
      <c r="M91">
        <f>Table1[[#This Row],[Aboard]]-Table1[[#This Row],[Fatalities (air)]]</f>
        <v>0</v>
      </c>
    </row>
    <row r="92" spans="13:13" x14ac:dyDescent="0.25">
      <c r="M92">
        <f>Table1[[#This Row],[Aboard]]-Table1[[#This Row],[Fatalities (air)]]</f>
        <v>0</v>
      </c>
    </row>
    <row r="93" spans="13:13" x14ac:dyDescent="0.25">
      <c r="M93">
        <f>Table1[[#This Row],[Aboard]]-Table1[[#This Row],[Fatalities (air)]]</f>
        <v>182</v>
      </c>
    </row>
    <row r="94" spans="13:13" x14ac:dyDescent="0.25">
      <c r="M94">
        <f>Table1[[#This Row],[Aboard]]-Table1[[#This Row],[Fatalities (air)]]</f>
        <v>1</v>
      </c>
    </row>
    <row r="95" spans="13:13" x14ac:dyDescent="0.25">
      <c r="M95">
        <f>Table1[[#This Row],[Aboard]]-Table1[[#This Row],[Fatalities (air)]]</f>
        <v>35</v>
      </c>
    </row>
    <row r="96" spans="13:13" x14ac:dyDescent="0.25">
      <c r="M96">
        <f>Table1[[#This Row],[Aboard]]-Table1[[#This Row],[Fatalities (air)]]</f>
        <v>0</v>
      </c>
    </row>
    <row r="97" spans="13:13" x14ac:dyDescent="0.25">
      <c r="M97">
        <f>Table1[[#This Row],[Aboard]]-Table1[[#This Row],[Fatalities (air)]]</f>
        <v>0</v>
      </c>
    </row>
    <row r="98" spans="13:13" x14ac:dyDescent="0.25">
      <c r="M98">
        <f>Table1[[#This Row],[Aboard]]-Table1[[#This Row],[Fatalities (air)]]</f>
        <v>0</v>
      </c>
    </row>
    <row r="99" spans="13:13" x14ac:dyDescent="0.25">
      <c r="M99">
        <f>Table1[[#This Row],[Aboard]]-Table1[[#This Row],[Fatalities (air)]]</f>
        <v>1</v>
      </c>
    </row>
    <row r="100" spans="13:13" x14ac:dyDescent="0.25">
      <c r="M100">
        <f>Table1[[#This Row],[Aboard]]-Table1[[#This Row],[Fatalities (air)]]</f>
        <v>0</v>
      </c>
    </row>
    <row r="101" spans="13:13" x14ac:dyDescent="0.25">
      <c r="M101">
        <f>Table1[[#This Row],[Aboard]]-Table1[[#This Row],[Fatalities (air)]]</f>
        <v>0</v>
      </c>
    </row>
    <row r="102" spans="13:13" x14ac:dyDescent="0.25">
      <c r="M102">
        <f>Table1[[#This Row],[Aboard]]-Table1[[#This Row],[Fatalities (air)]]</f>
        <v>0</v>
      </c>
    </row>
    <row r="103" spans="13:13" x14ac:dyDescent="0.25">
      <c r="M103">
        <f>Table1[[#This Row],[Aboard]]-Table1[[#This Row],[Fatalities (air)]]</f>
        <v>0</v>
      </c>
    </row>
    <row r="104" spans="13:13" x14ac:dyDescent="0.25">
      <c r="M104">
        <f>Table1[[#This Row],[Aboard]]-Table1[[#This Row],[Fatalities (air)]]</f>
        <v>118</v>
      </c>
    </row>
    <row r="105" spans="13:13" x14ac:dyDescent="0.25">
      <c r="M105">
        <f>Table1[[#This Row],[Aboard]]-Table1[[#This Row],[Fatalities (air)]]</f>
        <v>12</v>
      </c>
    </row>
    <row r="106" spans="13:13" x14ac:dyDescent="0.25">
      <c r="M106">
        <f>Table1[[#This Row],[Aboard]]-Table1[[#This Row],[Fatalities (air)]]</f>
        <v>0</v>
      </c>
    </row>
    <row r="107" spans="13:13" x14ac:dyDescent="0.25">
      <c r="M107">
        <f>Table1[[#This Row],[Aboard]]-Table1[[#This Row],[Fatalities (air)]]</f>
        <v>20</v>
      </c>
    </row>
    <row r="108" spans="13:13" x14ac:dyDescent="0.25">
      <c r="M108">
        <f>Table1[[#This Row],[Aboard]]-Table1[[#This Row],[Fatalities (air)]]</f>
        <v>0</v>
      </c>
    </row>
    <row r="109" spans="13:13" x14ac:dyDescent="0.25">
      <c r="M109">
        <f>Table1[[#This Row],[Aboard]]-Table1[[#This Row],[Fatalities (air)]]</f>
        <v>0</v>
      </c>
    </row>
    <row r="110" spans="13:13" x14ac:dyDescent="0.25">
      <c r="M110">
        <f>Table1[[#This Row],[Aboard]]-Table1[[#This Row],[Fatalities (air)]]</f>
        <v>0</v>
      </c>
    </row>
    <row r="111" spans="13:13" x14ac:dyDescent="0.25">
      <c r="M111">
        <f>Table1[[#This Row],[Aboard]]-Table1[[#This Row],[Fatalities (air)]]</f>
        <v>0</v>
      </c>
    </row>
    <row r="112" spans="13:13" x14ac:dyDescent="0.25">
      <c r="M112">
        <f>Table1[[#This Row],[Aboard]]-Table1[[#This Row],[Fatalities (air)]]</f>
        <v>0</v>
      </c>
    </row>
    <row r="113" spans="13:13" x14ac:dyDescent="0.25">
      <c r="M113">
        <f>Table1[[#This Row],[Aboard]]-Table1[[#This Row],[Fatalities (air)]]</f>
        <v>0</v>
      </c>
    </row>
    <row r="114" spans="13:13" x14ac:dyDescent="0.25">
      <c r="M114">
        <f>Table1[[#This Row],[Aboard]]-Table1[[#This Row],[Fatalities (air)]]</f>
        <v>0</v>
      </c>
    </row>
    <row r="115" spans="13:13" x14ac:dyDescent="0.25">
      <c r="M115">
        <f>Table1[[#This Row],[Aboard]]-Table1[[#This Row],[Fatalities (air)]]</f>
        <v>0</v>
      </c>
    </row>
    <row r="116" spans="13:13" x14ac:dyDescent="0.25">
      <c r="M116">
        <f>Table1[[#This Row],[Aboard]]-Table1[[#This Row],[Fatalities (air)]]</f>
        <v>4</v>
      </c>
    </row>
    <row r="117" spans="13:13" x14ac:dyDescent="0.25">
      <c r="M117">
        <f>Table1[[#This Row],[Aboard]]-Table1[[#This Row],[Fatalities (air)]]</f>
        <v>7</v>
      </c>
    </row>
    <row r="118" spans="13:13" x14ac:dyDescent="0.25">
      <c r="M118">
        <f>Table1[[#This Row],[Aboard]]-Table1[[#This Row],[Fatalities (air)]]</f>
        <v>0</v>
      </c>
    </row>
    <row r="119" spans="13:13" x14ac:dyDescent="0.25">
      <c r="M119">
        <f>Table1[[#This Row],[Aboard]]-Table1[[#This Row],[Fatalities (air)]]</f>
        <v>0</v>
      </c>
    </row>
    <row r="120" spans="13:13" x14ac:dyDescent="0.25">
      <c r="M120">
        <f>Table1[[#This Row],[Aboard]]-Table1[[#This Row],[Fatalities (air)]]</f>
        <v>0</v>
      </c>
    </row>
    <row r="121" spans="13:13" x14ac:dyDescent="0.25">
      <c r="M121">
        <f>Table1[[#This Row],[Aboard]]-Table1[[#This Row],[Fatalities (air)]]</f>
        <v>0</v>
      </c>
    </row>
    <row r="122" spans="13:13" x14ac:dyDescent="0.25">
      <c r="M122">
        <f>Table1[[#This Row],[Aboard]]-Table1[[#This Row],[Fatalities (air)]]</f>
        <v>0</v>
      </c>
    </row>
    <row r="123" spans="13:13" x14ac:dyDescent="0.25">
      <c r="M123">
        <f>Table1[[#This Row],[Aboard]]-Table1[[#This Row],[Fatalities (air)]]</f>
        <v>0</v>
      </c>
    </row>
    <row r="124" spans="13:13" x14ac:dyDescent="0.25">
      <c r="M124">
        <f>Table1[[#This Row],[Aboard]]-Table1[[#This Row],[Fatalities (air)]]</f>
        <v>6</v>
      </c>
    </row>
    <row r="125" spans="13:13" x14ac:dyDescent="0.25">
      <c r="M125">
        <f>Table1[[#This Row],[Aboard]]-Table1[[#This Row],[Fatalities (air)]]</f>
        <v>1</v>
      </c>
    </row>
    <row r="126" spans="13:13" x14ac:dyDescent="0.25">
      <c r="M126">
        <f>Table1[[#This Row],[Aboard]]-Table1[[#This Row],[Fatalities (air)]]</f>
        <v>3</v>
      </c>
    </row>
    <row r="127" spans="13:13" x14ac:dyDescent="0.25">
      <c r="M127">
        <f>Table1[[#This Row],[Aboard]]-Table1[[#This Row],[Fatalities (air)]]</f>
        <v>0</v>
      </c>
    </row>
    <row r="128" spans="13:13" x14ac:dyDescent="0.25">
      <c r="M128">
        <f>Table1[[#This Row],[Aboard]]-Table1[[#This Row],[Fatalities (air)]]</f>
        <v>0</v>
      </c>
    </row>
    <row r="129" spans="13:13" x14ac:dyDescent="0.25">
      <c r="M129">
        <f>Table1[[#This Row],[Aboard]]-Table1[[#This Row],[Fatalities (air)]]</f>
        <v>2</v>
      </c>
    </row>
    <row r="130" spans="13:13" x14ac:dyDescent="0.25">
      <c r="M130">
        <f>Table1[[#This Row],[Aboard]]-Table1[[#This Row],[Fatalities (air)]]</f>
        <v>7</v>
      </c>
    </row>
    <row r="131" spans="13:13" x14ac:dyDescent="0.25">
      <c r="M131">
        <f>Table1[[#This Row],[Aboard]]-Table1[[#This Row],[Fatalities (air)]]</f>
        <v>0</v>
      </c>
    </row>
    <row r="132" spans="13:13" x14ac:dyDescent="0.25">
      <c r="M132">
        <f>Table1[[#This Row],[Aboard]]-Table1[[#This Row],[Fatalities (air)]]</f>
        <v>4</v>
      </c>
    </row>
    <row r="133" spans="13:13" x14ac:dyDescent="0.25">
      <c r="M133">
        <f>Table1[[#This Row],[Aboard]]-Table1[[#This Row],[Fatalities (air)]]</f>
        <v>0</v>
      </c>
    </row>
    <row r="134" spans="13:13" x14ac:dyDescent="0.25">
      <c r="M134">
        <f>Table1[[#This Row],[Aboard]]-Table1[[#This Row],[Fatalities (air)]]</f>
        <v>6</v>
      </c>
    </row>
    <row r="135" spans="13:13" x14ac:dyDescent="0.25">
      <c r="M135">
        <f>Table1[[#This Row],[Aboard]]-Table1[[#This Row],[Fatalities (air)]]</f>
        <v>0</v>
      </c>
    </row>
    <row r="136" spans="13:13" x14ac:dyDescent="0.25">
      <c r="M136">
        <f>Table1[[#This Row],[Aboard]]-Table1[[#This Row],[Fatalities (air)]]</f>
        <v>0</v>
      </c>
    </row>
    <row r="137" spans="13:13" x14ac:dyDescent="0.25">
      <c r="M137">
        <f>Table1[[#This Row],[Aboard]]-Table1[[#This Row],[Fatalities (air)]]</f>
        <v>3</v>
      </c>
    </row>
    <row r="138" spans="13:13" x14ac:dyDescent="0.25">
      <c r="M138">
        <f>Table1[[#This Row],[Aboard]]-Table1[[#This Row],[Fatalities (air)]]</f>
        <v>0</v>
      </c>
    </row>
    <row r="139" spans="13:13" x14ac:dyDescent="0.25">
      <c r="M139">
        <f>Table1[[#This Row],[Aboard]]-Table1[[#This Row],[Fatalities (air)]]</f>
        <v>138</v>
      </c>
    </row>
    <row r="140" spans="13:13" x14ac:dyDescent="0.25">
      <c r="M140">
        <f>Table1[[#This Row],[Aboard]]-Table1[[#This Row],[Fatalities (air)]]</f>
        <v>19</v>
      </c>
    </row>
    <row r="141" spans="13:13" x14ac:dyDescent="0.25">
      <c r="M141">
        <f>Table1[[#This Row],[Aboard]]-Table1[[#This Row],[Fatalities (air)]]</f>
        <v>12</v>
      </c>
    </row>
    <row r="142" spans="13:13" x14ac:dyDescent="0.25">
      <c r="M142">
        <f>Table1[[#This Row],[Aboard]]-Table1[[#This Row],[Fatalities (air)]]</f>
        <v>0</v>
      </c>
    </row>
    <row r="143" spans="13:13" x14ac:dyDescent="0.25">
      <c r="M143">
        <f>Table1[[#This Row],[Aboard]]-Table1[[#This Row],[Fatalities (air)]]</f>
        <v>0</v>
      </c>
    </row>
    <row r="144" spans="13:13" x14ac:dyDescent="0.25">
      <c r="M144">
        <f>Table1[[#This Row],[Aboard]]-Table1[[#This Row],[Fatalities (air)]]</f>
        <v>108</v>
      </c>
    </row>
    <row r="145" spans="13:13" x14ac:dyDescent="0.25">
      <c r="M145">
        <f>Table1[[#This Row],[Aboard]]-Table1[[#This Row],[Fatalities (air)]]</f>
        <v>4</v>
      </c>
    </row>
    <row r="146" spans="13:13" x14ac:dyDescent="0.25">
      <c r="M146">
        <f>Table1[[#This Row],[Aboard]]-Table1[[#This Row],[Fatalities (air)]]</f>
        <v>0</v>
      </c>
    </row>
    <row r="147" spans="13:13" x14ac:dyDescent="0.25">
      <c r="M147">
        <f>Table1[[#This Row],[Aboard]]-Table1[[#This Row],[Fatalities (air)]]</f>
        <v>0</v>
      </c>
    </row>
    <row r="148" spans="13:13" x14ac:dyDescent="0.25">
      <c r="M148">
        <f>Table1[[#This Row],[Aboard]]-Table1[[#This Row],[Fatalities (air)]]</f>
        <v>0</v>
      </c>
    </row>
    <row r="149" spans="13:13" x14ac:dyDescent="0.25">
      <c r="M149">
        <f>Table1[[#This Row],[Aboard]]-Table1[[#This Row],[Fatalities (air)]]</f>
        <v>0</v>
      </c>
    </row>
    <row r="150" spans="13:13" x14ac:dyDescent="0.25">
      <c r="M150">
        <f>Table1[[#This Row],[Aboard]]-Table1[[#This Row],[Fatalities (air)]]</f>
        <v>0</v>
      </c>
    </row>
    <row r="151" spans="13:13" x14ac:dyDescent="0.25">
      <c r="M151">
        <f>Table1[[#This Row],[Aboard]]-Table1[[#This Row],[Fatalities (air)]]</f>
        <v>0</v>
      </c>
    </row>
    <row r="152" spans="13:13" x14ac:dyDescent="0.25">
      <c r="M152">
        <f>Table1[[#This Row],[Aboard]]-Table1[[#This Row],[Fatalities (air)]]</f>
        <v>0</v>
      </c>
    </row>
    <row r="153" spans="13:13" x14ac:dyDescent="0.25">
      <c r="M153">
        <f>Table1[[#This Row],[Aboard]]-Table1[[#This Row],[Fatalities (air)]]</f>
        <v>0</v>
      </c>
    </row>
    <row r="154" spans="13:13" x14ac:dyDescent="0.25">
      <c r="M154">
        <f>Table1[[#This Row],[Aboard]]-Table1[[#This Row],[Fatalities (air)]]</f>
        <v>0</v>
      </c>
    </row>
    <row r="155" spans="13:13" x14ac:dyDescent="0.25">
      <c r="M155">
        <f>Table1[[#This Row],[Aboard]]-Table1[[#This Row],[Fatalities (air)]]</f>
        <v>1</v>
      </c>
    </row>
    <row r="156" spans="13:13" x14ac:dyDescent="0.25">
      <c r="M156">
        <f>Table1[[#This Row],[Aboard]]-Table1[[#This Row],[Fatalities (air)]]</f>
        <v>9</v>
      </c>
    </row>
    <row r="157" spans="13:13" x14ac:dyDescent="0.25">
      <c r="M157">
        <f>Table1[[#This Row],[Aboard]]-Table1[[#This Row],[Fatalities (air)]]</f>
        <v>0</v>
      </c>
    </row>
    <row r="158" spans="13:13" x14ac:dyDescent="0.25">
      <c r="M158">
        <f>Table1[[#This Row],[Aboard]]-Table1[[#This Row],[Fatalities (air)]]</f>
        <v>4</v>
      </c>
    </row>
    <row r="159" spans="13:13" x14ac:dyDescent="0.25">
      <c r="M159">
        <f>Table1[[#This Row],[Aboard]]-Table1[[#This Row],[Fatalities (air)]]</f>
        <v>7</v>
      </c>
    </row>
    <row r="160" spans="13:13" x14ac:dyDescent="0.25">
      <c r="M160">
        <f>Table1[[#This Row],[Aboard]]-Table1[[#This Row],[Fatalities (air)]]</f>
        <v>0</v>
      </c>
    </row>
    <row r="161" spans="13:13" x14ac:dyDescent="0.25">
      <c r="M161">
        <f>Table1[[#This Row],[Aboard]]-Table1[[#This Row],[Fatalities (air)]]</f>
        <v>0</v>
      </c>
    </row>
    <row r="162" spans="13:13" x14ac:dyDescent="0.25">
      <c r="M162">
        <f>Table1[[#This Row],[Aboard]]-Table1[[#This Row],[Fatalities (air)]]</f>
        <v>7</v>
      </c>
    </row>
    <row r="163" spans="13:13" x14ac:dyDescent="0.25">
      <c r="M163">
        <f>Table1[[#This Row],[Aboard]]-Table1[[#This Row],[Fatalities (air)]]</f>
        <v>0</v>
      </c>
    </row>
    <row r="164" spans="13:13" x14ac:dyDescent="0.25">
      <c r="M164">
        <f>Table1[[#This Row],[Aboard]]-Table1[[#This Row],[Fatalities (air)]]</f>
        <v>81</v>
      </c>
    </row>
    <row r="165" spans="13:13" x14ac:dyDescent="0.25">
      <c r="M165">
        <f>Table1[[#This Row],[Aboard]]-Table1[[#This Row],[Fatalities (air)]]</f>
        <v>0</v>
      </c>
    </row>
    <row r="166" spans="13:13" x14ac:dyDescent="0.25">
      <c r="M166">
        <f>Table1[[#This Row],[Aboard]]-Table1[[#This Row],[Fatalities (air)]]</f>
        <v>18</v>
      </c>
    </row>
    <row r="167" spans="13:13" x14ac:dyDescent="0.25">
      <c r="M167">
        <f>Table1[[#This Row],[Aboard]]-Table1[[#This Row],[Fatalities (air)]]</f>
        <v>0</v>
      </c>
    </row>
    <row r="168" spans="13:13" x14ac:dyDescent="0.25">
      <c r="M168">
        <f>Table1[[#This Row],[Aboard]]-Table1[[#This Row],[Fatalities (air)]]</f>
        <v>0</v>
      </c>
    </row>
    <row r="169" spans="13:13" x14ac:dyDescent="0.25">
      <c r="M169">
        <f>Table1[[#This Row],[Aboard]]-Table1[[#This Row],[Fatalities (air)]]</f>
        <v>0</v>
      </c>
    </row>
    <row r="170" spans="13:13" x14ac:dyDescent="0.25">
      <c r="M170">
        <f>Table1[[#This Row],[Aboard]]-Table1[[#This Row],[Fatalities (air)]]</f>
        <v>5</v>
      </c>
    </row>
    <row r="171" spans="13:13" x14ac:dyDescent="0.25">
      <c r="M171">
        <f>Table1[[#This Row],[Aboard]]-Table1[[#This Row],[Fatalities (air)]]</f>
        <v>0</v>
      </c>
    </row>
    <row r="172" spans="13:13" x14ac:dyDescent="0.25">
      <c r="M172">
        <f>Table1[[#This Row],[Aboard]]-Table1[[#This Row],[Fatalities (air)]]</f>
        <v>0</v>
      </c>
    </row>
    <row r="173" spans="13:13" x14ac:dyDescent="0.25">
      <c r="M173">
        <f>Table1[[#This Row],[Aboard]]-Table1[[#This Row],[Fatalities (air)]]</f>
        <v>0</v>
      </c>
    </row>
    <row r="174" spans="13:13" x14ac:dyDescent="0.25">
      <c r="M174">
        <f>Table1[[#This Row],[Aboard]]-Table1[[#This Row],[Fatalities (air)]]</f>
        <v>0</v>
      </c>
    </row>
    <row r="175" spans="13:13" x14ac:dyDescent="0.25">
      <c r="M175">
        <f>Table1[[#This Row],[Aboard]]-Table1[[#This Row],[Fatalities (air)]]</f>
        <v>0</v>
      </c>
    </row>
    <row r="176" spans="13:13" x14ac:dyDescent="0.25">
      <c r="M176">
        <f>Table1[[#This Row],[Aboard]]-Table1[[#This Row],[Fatalities (air)]]</f>
        <v>0</v>
      </c>
    </row>
    <row r="177" spans="13:13" x14ac:dyDescent="0.25">
      <c r="M177">
        <f>Table1[[#This Row],[Aboard]]-Table1[[#This Row],[Fatalities (air)]]</f>
        <v>0</v>
      </c>
    </row>
    <row r="178" spans="13:13" x14ac:dyDescent="0.25">
      <c r="M178">
        <f>Table1[[#This Row],[Aboard]]-Table1[[#This Row],[Fatalities (air)]]</f>
        <v>0</v>
      </c>
    </row>
    <row r="179" spans="13:13" x14ac:dyDescent="0.25">
      <c r="M179">
        <f>Table1[[#This Row],[Aboard]]-Table1[[#This Row],[Fatalities (air)]]</f>
        <v>0</v>
      </c>
    </row>
    <row r="180" spans="13:13" x14ac:dyDescent="0.25">
      <c r="M180">
        <f>Table1[[#This Row],[Aboard]]-Table1[[#This Row],[Fatalities (air)]]</f>
        <v>0</v>
      </c>
    </row>
    <row r="181" spans="13:13" x14ac:dyDescent="0.25">
      <c r="M181">
        <f>Table1[[#This Row],[Aboard]]-Table1[[#This Row],[Fatalities (air)]]</f>
        <v>0</v>
      </c>
    </row>
    <row r="182" spans="13:13" x14ac:dyDescent="0.25">
      <c r="M182">
        <f>Table1[[#This Row],[Aboard]]-Table1[[#This Row],[Fatalities (air)]]</f>
        <v>0</v>
      </c>
    </row>
    <row r="183" spans="13:13" x14ac:dyDescent="0.25">
      <c r="M183">
        <f>Table1[[#This Row],[Aboard]]-Table1[[#This Row],[Fatalities (air)]]</f>
        <v>0</v>
      </c>
    </row>
    <row r="184" spans="13:13" x14ac:dyDescent="0.25">
      <c r="M184">
        <f>Table1[[#This Row],[Aboard]]-Table1[[#This Row],[Fatalities (air)]]</f>
        <v>0</v>
      </c>
    </row>
    <row r="185" spans="13:13" x14ac:dyDescent="0.25">
      <c r="M185">
        <f>Table1[[#This Row],[Aboard]]-Table1[[#This Row],[Fatalities (air)]]</f>
        <v>0</v>
      </c>
    </row>
    <row r="186" spans="13:13" x14ac:dyDescent="0.25">
      <c r="M186">
        <f>Table1[[#This Row],[Aboard]]-Table1[[#This Row],[Fatalities (air)]]</f>
        <v>0</v>
      </c>
    </row>
    <row r="187" spans="13:13" x14ac:dyDescent="0.25">
      <c r="M187">
        <f>Table1[[#This Row],[Aboard]]-Table1[[#This Row],[Fatalities (air)]]</f>
        <v>0</v>
      </c>
    </row>
    <row r="188" spans="13:13" x14ac:dyDescent="0.25">
      <c r="M188">
        <f>Table1[[#This Row],[Aboard]]-Table1[[#This Row],[Fatalities (air)]]</f>
        <v>0</v>
      </c>
    </row>
    <row r="189" spans="13:13" x14ac:dyDescent="0.25">
      <c r="M189">
        <f>Table1[[#This Row],[Aboard]]-Table1[[#This Row],[Fatalities (air)]]</f>
        <v>0</v>
      </c>
    </row>
    <row r="190" spans="13:13" x14ac:dyDescent="0.25">
      <c r="M190">
        <f>Table1[[#This Row],[Aboard]]-Table1[[#This Row],[Fatalities (air)]]</f>
        <v>0</v>
      </c>
    </row>
    <row r="191" spans="13:13" x14ac:dyDescent="0.25">
      <c r="M191">
        <f>Table1[[#This Row],[Aboard]]-Table1[[#This Row],[Fatalities (air)]]</f>
        <v>0</v>
      </c>
    </row>
    <row r="192" spans="13:13" x14ac:dyDescent="0.25">
      <c r="M192">
        <f>Table1[[#This Row],[Aboard]]-Table1[[#This Row],[Fatalities (air)]]</f>
        <v>0</v>
      </c>
    </row>
    <row r="193" spans="13:13" x14ac:dyDescent="0.25">
      <c r="M193">
        <f>Table1[[#This Row],[Aboard]]-Table1[[#This Row],[Fatalities (air)]]</f>
        <v>0</v>
      </c>
    </row>
    <row r="194" spans="13:13" x14ac:dyDescent="0.25">
      <c r="M194">
        <f>Table1[[#This Row],[Aboard]]-Table1[[#This Row],[Fatalities (air)]]</f>
        <v>0</v>
      </c>
    </row>
    <row r="195" spans="13:13" x14ac:dyDescent="0.25">
      <c r="M195">
        <f>Table1[[#This Row],[Aboard]]-Table1[[#This Row],[Fatalities (air)]]</f>
        <v>0</v>
      </c>
    </row>
    <row r="196" spans="13:13" x14ac:dyDescent="0.25">
      <c r="M196">
        <f>Table1[[#This Row],[Aboard]]-Table1[[#This Row],[Fatalities (air)]]</f>
        <v>0</v>
      </c>
    </row>
    <row r="197" spans="13:13" x14ac:dyDescent="0.25">
      <c r="M197">
        <f>Table1[[#This Row],[Aboard]]-Table1[[#This Row],[Fatalities (air)]]</f>
        <v>0</v>
      </c>
    </row>
    <row r="198" spans="13:13" x14ac:dyDescent="0.25">
      <c r="M198">
        <f>Table1[[#This Row],[Aboard]]-Table1[[#This Row],[Fatalities (air)]]</f>
        <v>0</v>
      </c>
    </row>
    <row r="199" spans="13:13" x14ac:dyDescent="0.25">
      <c r="M199">
        <f>Table1[[#This Row],[Aboard]]-Table1[[#This Row],[Fatalities (air)]]</f>
        <v>0</v>
      </c>
    </row>
    <row r="200" spans="13:13" x14ac:dyDescent="0.25">
      <c r="M200">
        <f>Table1[[#This Row],[Aboard]]-Table1[[#This Row],[Fatalities (air)]]</f>
        <v>0</v>
      </c>
    </row>
    <row r="201" spans="13:13" x14ac:dyDescent="0.25">
      <c r="M201">
        <f>Table1[[#This Row],[Aboard]]-Table1[[#This Row],[Fatalities (air)]]</f>
        <v>0</v>
      </c>
    </row>
    <row r="202" spans="13:13" x14ac:dyDescent="0.25">
      <c r="M202">
        <f>Table1[[#This Row],[Aboard]]-Table1[[#This Row],[Fatalities (air)]]</f>
        <v>0</v>
      </c>
    </row>
    <row r="203" spans="13:13" x14ac:dyDescent="0.25">
      <c r="M203">
        <f>Table1[[#This Row],[Aboard]]-Table1[[#This Row],[Fatalities (air)]]</f>
        <v>0</v>
      </c>
    </row>
    <row r="204" spans="13:13" x14ac:dyDescent="0.25">
      <c r="M204">
        <f>Table1[[#This Row],[Aboard]]-Table1[[#This Row],[Fatalities (air)]]</f>
        <v>0</v>
      </c>
    </row>
    <row r="205" spans="13:13" x14ac:dyDescent="0.25">
      <c r="M205">
        <f>Table1[[#This Row],[Aboard]]-Table1[[#This Row],[Fatalities (air)]]</f>
        <v>0</v>
      </c>
    </row>
    <row r="206" spans="13:13" x14ac:dyDescent="0.25">
      <c r="M206">
        <f>Table1[[#This Row],[Aboard]]-Table1[[#This Row],[Fatalities (air)]]</f>
        <v>0</v>
      </c>
    </row>
    <row r="207" spans="13:13" x14ac:dyDescent="0.25">
      <c r="M207">
        <f>Table1[[#This Row],[Aboard]]-Table1[[#This Row],[Fatalities (air)]]</f>
        <v>0</v>
      </c>
    </row>
    <row r="208" spans="13:13" x14ac:dyDescent="0.25">
      <c r="M208">
        <f>Table1[[#This Row],[Aboard]]-Table1[[#This Row],[Fatalities (air)]]</f>
        <v>0</v>
      </c>
    </row>
    <row r="209" spans="13:13" x14ac:dyDescent="0.25">
      <c r="M209">
        <f>Table1[[#This Row],[Aboard]]-Table1[[#This Row],[Fatalities (air)]]</f>
        <v>0</v>
      </c>
    </row>
    <row r="210" spans="13:13" x14ac:dyDescent="0.25">
      <c r="M210">
        <f>Table1[[#This Row],[Aboard]]-Table1[[#This Row],[Fatalities (air)]]</f>
        <v>0</v>
      </c>
    </row>
    <row r="211" spans="13:13" x14ac:dyDescent="0.25">
      <c r="M211">
        <f>Table1[[#This Row],[Aboard]]-Table1[[#This Row],[Fatalities (air)]]</f>
        <v>0</v>
      </c>
    </row>
    <row r="212" spans="13:13" x14ac:dyDescent="0.25">
      <c r="M212">
        <f>Table1[[#This Row],[Aboard]]-Table1[[#This Row],[Fatalities (air)]]</f>
        <v>0</v>
      </c>
    </row>
    <row r="213" spans="13:13" x14ac:dyDescent="0.25">
      <c r="M213">
        <f>Table1[[#This Row],[Aboard]]-Table1[[#This Row],[Fatalities (air)]]</f>
        <v>0</v>
      </c>
    </row>
    <row r="214" spans="13:13" x14ac:dyDescent="0.25">
      <c r="M214">
        <f>Table1[[#This Row],[Aboard]]-Table1[[#This Row],[Fatalities (air)]]</f>
        <v>0</v>
      </c>
    </row>
    <row r="215" spans="13:13" x14ac:dyDescent="0.25">
      <c r="M215">
        <f>Table1[[#This Row],[Aboard]]-Table1[[#This Row],[Fatalities (air)]]</f>
        <v>0</v>
      </c>
    </row>
    <row r="216" spans="13:13" x14ac:dyDescent="0.25">
      <c r="M216">
        <f>Table1[[#This Row],[Aboard]]-Table1[[#This Row],[Fatalities (air)]]</f>
        <v>0</v>
      </c>
    </row>
    <row r="217" spans="13:13" x14ac:dyDescent="0.25">
      <c r="M217">
        <f>Table1[[#This Row],[Aboard]]-Table1[[#This Row],[Fatalities (air)]]</f>
        <v>0</v>
      </c>
    </row>
    <row r="218" spans="13:13" x14ac:dyDescent="0.25">
      <c r="M218">
        <f>Table1[[#This Row],[Aboard]]-Table1[[#This Row],[Fatalities (air)]]</f>
        <v>0</v>
      </c>
    </row>
    <row r="219" spans="13:13" x14ac:dyDescent="0.25">
      <c r="M219">
        <f>Table1[[#This Row],[Aboard]]-Table1[[#This Row],[Fatalities (air)]]</f>
        <v>0</v>
      </c>
    </row>
    <row r="220" spans="13:13" x14ac:dyDescent="0.25">
      <c r="M220">
        <f>Table1[[#This Row],[Aboard]]-Table1[[#This Row],[Fatalities (air)]]</f>
        <v>0</v>
      </c>
    </row>
    <row r="221" spans="13:13" x14ac:dyDescent="0.25">
      <c r="M221">
        <f>Table1[[#This Row],[Aboard]]-Table1[[#This Row],[Fatalities (air)]]</f>
        <v>0</v>
      </c>
    </row>
    <row r="222" spans="13:13" x14ac:dyDescent="0.25">
      <c r="M222">
        <f>Table1[[#This Row],[Aboard]]-Table1[[#This Row],[Fatalities (air)]]</f>
        <v>0</v>
      </c>
    </row>
    <row r="223" spans="13:13" x14ac:dyDescent="0.25">
      <c r="M223">
        <f>Table1[[#This Row],[Aboard]]-Table1[[#This Row],[Fatalities (air)]]</f>
        <v>0</v>
      </c>
    </row>
    <row r="224" spans="13:13" x14ac:dyDescent="0.25">
      <c r="M224">
        <f>Table1[[#This Row],[Aboard]]-Table1[[#This Row],[Fatalities (air)]]</f>
        <v>0</v>
      </c>
    </row>
    <row r="225" spans="13:13" x14ac:dyDescent="0.25">
      <c r="M225">
        <f>Table1[[#This Row],[Aboard]]-Table1[[#This Row],[Fatalities (air)]]</f>
        <v>0</v>
      </c>
    </row>
    <row r="226" spans="13:13" x14ac:dyDescent="0.25">
      <c r="M226">
        <f>Table1[[#This Row],[Aboard]]-Table1[[#This Row],[Fatalities (air)]]</f>
        <v>0</v>
      </c>
    </row>
    <row r="227" spans="13:13" x14ac:dyDescent="0.25">
      <c r="M227">
        <f>Table1[[#This Row],[Aboard]]-Table1[[#This Row],[Fatalities (air)]]</f>
        <v>0</v>
      </c>
    </row>
    <row r="228" spans="13:13" x14ac:dyDescent="0.25">
      <c r="M228">
        <f>Table1[[#This Row],[Aboard]]-Table1[[#This Row],[Fatalities (air)]]</f>
        <v>0</v>
      </c>
    </row>
    <row r="229" spans="13:13" x14ac:dyDescent="0.25">
      <c r="M229">
        <f>Table1[[#This Row],[Aboard]]-Table1[[#This Row],[Fatalities (air)]]</f>
        <v>0</v>
      </c>
    </row>
    <row r="230" spans="13:13" x14ac:dyDescent="0.25">
      <c r="M230">
        <f>Table1[[#This Row],[Aboard]]-Table1[[#This Row],[Fatalities (air)]]</f>
        <v>0</v>
      </c>
    </row>
    <row r="231" spans="13:13" x14ac:dyDescent="0.25">
      <c r="M231">
        <f>Table1[[#This Row],[Aboard]]-Table1[[#This Row],[Fatalities (air)]]</f>
        <v>0</v>
      </c>
    </row>
    <row r="232" spans="13:13" x14ac:dyDescent="0.25">
      <c r="M232">
        <f>Table1[[#This Row],[Aboard]]-Table1[[#This Row],[Fatalities (air)]]</f>
        <v>0</v>
      </c>
    </row>
    <row r="233" spans="13:13" x14ac:dyDescent="0.25">
      <c r="M233">
        <f>Table1[[#This Row],[Aboard]]-Table1[[#This Row],[Fatalities (air)]]</f>
        <v>0</v>
      </c>
    </row>
    <row r="234" spans="13:13" x14ac:dyDescent="0.25">
      <c r="M234">
        <f>Table1[[#This Row],[Aboard]]-Table1[[#This Row],[Fatalities (air)]]</f>
        <v>0</v>
      </c>
    </row>
    <row r="235" spans="13:13" x14ac:dyDescent="0.25">
      <c r="M235">
        <f>Table1[[#This Row],[Aboard]]-Table1[[#This Row],[Fatalities (air)]]</f>
        <v>0</v>
      </c>
    </row>
    <row r="236" spans="13:13" x14ac:dyDescent="0.25">
      <c r="M236">
        <f>Table1[[#This Row],[Aboard]]-Table1[[#This Row],[Fatalities (air)]]</f>
        <v>0</v>
      </c>
    </row>
    <row r="237" spans="13:13" x14ac:dyDescent="0.25">
      <c r="M237">
        <f>Table1[[#This Row],[Aboard]]-Table1[[#This Row],[Fatalities (air)]]</f>
        <v>0</v>
      </c>
    </row>
    <row r="238" spans="13:13" x14ac:dyDescent="0.25">
      <c r="M238">
        <f>Table1[[#This Row],[Aboard]]-Table1[[#This Row],[Fatalities (air)]]</f>
        <v>0</v>
      </c>
    </row>
    <row r="239" spans="13:13" x14ac:dyDescent="0.25">
      <c r="M239">
        <f>Table1[[#This Row],[Aboard]]-Table1[[#This Row],[Fatalities (air)]]</f>
        <v>0</v>
      </c>
    </row>
    <row r="240" spans="13:13" x14ac:dyDescent="0.25">
      <c r="M240">
        <f>Table1[[#This Row],[Aboard]]-Table1[[#This Row],[Fatalities (air)]]</f>
        <v>0</v>
      </c>
    </row>
    <row r="241" spans="13:13" x14ac:dyDescent="0.25">
      <c r="M241">
        <f>Table1[[#This Row],[Aboard]]-Table1[[#This Row],[Fatalities (air)]]</f>
        <v>0</v>
      </c>
    </row>
    <row r="242" spans="13:13" x14ac:dyDescent="0.25">
      <c r="M242">
        <f>Table1[[#This Row],[Aboard]]-Table1[[#This Row],[Fatalities (air)]]</f>
        <v>0</v>
      </c>
    </row>
    <row r="243" spans="13:13" x14ac:dyDescent="0.25">
      <c r="M243">
        <f>Table1[[#This Row],[Aboard]]-Table1[[#This Row],[Fatalities (air)]]</f>
        <v>0</v>
      </c>
    </row>
    <row r="244" spans="13:13" x14ac:dyDescent="0.25">
      <c r="M244">
        <f>Table1[[#This Row],[Aboard]]-Table1[[#This Row],[Fatalities (air)]]</f>
        <v>0</v>
      </c>
    </row>
    <row r="245" spans="13:13" x14ac:dyDescent="0.25">
      <c r="M245">
        <f>Table1[[#This Row],[Aboard]]-Table1[[#This Row],[Fatalities (air)]]</f>
        <v>0</v>
      </c>
    </row>
    <row r="246" spans="13:13" x14ac:dyDescent="0.25">
      <c r="M246">
        <f>Table1[[#This Row],[Aboard]]-Table1[[#This Row],[Fatalities (air)]]</f>
        <v>0</v>
      </c>
    </row>
    <row r="247" spans="13:13" x14ac:dyDescent="0.25">
      <c r="M247">
        <f>Table1[[#This Row],[Aboard]]-Table1[[#This Row],[Fatalities (air)]]</f>
        <v>0</v>
      </c>
    </row>
    <row r="248" spans="13:13" x14ac:dyDescent="0.25">
      <c r="M248">
        <f>Table1[[#This Row],[Aboard]]-Table1[[#This Row],[Fatalities (air)]]</f>
        <v>0</v>
      </c>
    </row>
    <row r="249" spans="13:13" x14ac:dyDescent="0.25">
      <c r="M249">
        <f>Table1[[#This Row],[Aboard]]-Table1[[#This Row],[Fatalities (air)]]</f>
        <v>0</v>
      </c>
    </row>
    <row r="250" spans="13:13" x14ac:dyDescent="0.25">
      <c r="M250">
        <f>Table1[[#This Row],[Aboard]]-Table1[[#This Row],[Fatalities (air)]]</f>
        <v>0</v>
      </c>
    </row>
    <row r="251" spans="13:13" x14ac:dyDescent="0.25">
      <c r="M251">
        <f>Table1[[#This Row],[Aboard]]-Table1[[#This Row],[Fatalities (air)]]</f>
        <v>0</v>
      </c>
    </row>
    <row r="252" spans="13:13" x14ac:dyDescent="0.25">
      <c r="M252">
        <f>Table1[[#This Row],[Aboard]]-Table1[[#This Row],[Fatalities (air)]]</f>
        <v>0</v>
      </c>
    </row>
    <row r="253" spans="13:13" x14ac:dyDescent="0.25">
      <c r="M253">
        <f>Table1[[#This Row],[Aboard]]-Table1[[#This Row],[Fatalities (air)]]</f>
        <v>0</v>
      </c>
    </row>
    <row r="254" spans="13:13" x14ac:dyDescent="0.25">
      <c r="M254">
        <f>Table1[[#This Row],[Aboard]]-Table1[[#This Row],[Fatalities (air)]]</f>
        <v>0</v>
      </c>
    </row>
    <row r="255" spans="13:13" x14ac:dyDescent="0.25">
      <c r="M255">
        <f>Table1[[#This Row],[Aboard]]-Table1[[#This Row],[Fatalities (air)]]</f>
        <v>0</v>
      </c>
    </row>
    <row r="256" spans="13:13" x14ac:dyDescent="0.25">
      <c r="M256">
        <f>Table1[[#This Row],[Aboard]]-Table1[[#This Row],[Fatalities (air)]]</f>
        <v>0</v>
      </c>
    </row>
    <row r="257" spans="13:13" x14ac:dyDescent="0.25">
      <c r="M257">
        <f>Table1[[#This Row],[Aboard]]-Table1[[#This Row],[Fatalities (air)]]</f>
        <v>0</v>
      </c>
    </row>
    <row r="258" spans="13:13" x14ac:dyDescent="0.25">
      <c r="M258">
        <f>Table1[[#This Row],[Aboard]]-Table1[[#This Row],[Fatalities (air)]]</f>
        <v>0</v>
      </c>
    </row>
    <row r="259" spans="13:13" x14ac:dyDescent="0.25">
      <c r="M259">
        <f>Table1[[#This Row],[Aboard]]-Table1[[#This Row],[Fatalities (air)]]</f>
        <v>0</v>
      </c>
    </row>
    <row r="260" spans="13:13" x14ac:dyDescent="0.25">
      <c r="M260">
        <f>Table1[[#This Row],[Aboard]]-Table1[[#This Row],[Fatalities (air)]]</f>
        <v>0</v>
      </c>
    </row>
    <row r="261" spans="13:13" x14ac:dyDescent="0.25">
      <c r="M261">
        <f>Table1[[#This Row],[Aboard]]-Table1[[#This Row],[Fatalities (air)]]</f>
        <v>0</v>
      </c>
    </row>
    <row r="262" spans="13:13" x14ac:dyDescent="0.25">
      <c r="M262">
        <f>Table1[[#This Row],[Aboard]]-Table1[[#This Row],[Fatalities (air)]]</f>
        <v>0</v>
      </c>
    </row>
    <row r="263" spans="13:13" x14ac:dyDescent="0.25">
      <c r="M263">
        <f>Table1[[#This Row],[Aboard]]-Table1[[#This Row],[Fatalities (air)]]</f>
        <v>0</v>
      </c>
    </row>
    <row r="264" spans="13:13" x14ac:dyDescent="0.25">
      <c r="M264">
        <f>Table1[[#This Row],[Aboard]]-Table1[[#This Row],[Fatalities (air)]]</f>
        <v>0</v>
      </c>
    </row>
    <row r="265" spans="13:13" x14ac:dyDescent="0.25">
      <c r="M265">
        <f>Table1[[#This Row],[Aboard]]-Table1[[#This Row],[Fatalities (air)]]</f>
        <v>0</v>
      </c>
    </row>
    <row r="266" spans="13:13" x14ac:dyDescent="0.25">
      <c r="M266">
        <f>Table1[[#This Row],[Aboard]]-Table1[[#This Row],[Fatalities (air)]]</f>
        <v>0</v>
      </c>
    </row>
    <row r="267" spans="13:13" x14ac:dyDescent="0.25">
      <c r="M267">
        <f>Table1[[#This Row],[Aboard]]-Table1[[#This Row],[Fatalities (air)]]</f>
        <v>0</v>
      </c>
    </row>
    <row r="268" spans="13:13" x14ac:dyDescent="0.25">
      <c r="M268">
        <f>Table1[[#This Row],[Aboard]]-Table1[[#This Row],[Fatalities (air)]]</f>
        <v>0</v>
      </c>
    </row>
    <row r="269" spans="13:13" x14ac:dyDescent="0.25">
      <c r="M269">
        <f>Table1[[#This Row],[Aboard]]-Table1[[#This Row],[Fatalities (air)]]</f>
        <v>0</v>
      </c>
    </row>
    <row r="270" spans="13:13" x14ac:dyDescent="0.25">
      <c r="M270">
        <f>Table1[[#This Row],[Aboard]]-Table1[[#This Row],[Fatalities (air)]]</f>
        <v>0</v>
      </c>
    </row>
    <row r="271" spans="13:13" x14ac:dyDescent="0.25">
      <c r="M271">
        <f>Table1[[#This Row],[Aboard]]-Table1[[#This Row],[Fatalities (air)]]</f>
        <v>0</v>
      </c>
    </row>
    <row r="272" spans="13:13" x14ac:dyDescent="0.25">
      <c r="M272">
        <f>Table1[[#This Row],[Aboard]]-Table1[[#This Row],[Fatalities (air)]]</f>
        <v>0</v>
      </c>
    </row>
    <row r="273" spans="13:13" x14ac:dyDescent="0.25">
      <c r="M273">
        <f>Table1[[#This Row],[Aboard]]-Table1[[#This Row],[Fatalities (air)]]</f>
        <v>0</v>
      </c>
    </row>
    <row r="274" spans="13:13" x14ac:dyDescent="0.25">
      <c r="M274">
        <f>Table1[[#This Row],[Aboard]]-Table1[[#This Row],[Fatalities (air)]]</f>
        <v>0</v>
      </c>
    </row>
    <row r="275" spans="13:13" x14ac:dyDescent="0.25">
      <c r="M275">
        <f>Table1[[#This Row],[Aboard]]-Table1[[#This Row],[Fatalities (air)]]</f>
        <v>0</v>
      </c>
    </row>
    <row r="276" spans="13:13" x14ac:dyDescent="0.25">
      <c r="M276">
        <f>Table1[[#This Row],[Aboard]]-Table1[[#This Row],[Fatalities (air)]]</f>
        <v>0</v>
      </c>
    </row>
    <row r="277" spans="13:13" x14ac:dyDescent="0.25">
      <c r="M277">
        <f>Table1[[#This Row],[Aboard]]-Table1[[#This Row],[Fatalities (air)]]</f>
        <v>0</v>
      </c>
    </row>
    <row r="278" spans="13:13" x14ac:dyDescent="0.25">
      <c r="M278">
        <f>Table1[[#This Row],[Aboard]]-Table1[[#This Row],[Fatalities (air)]]</f>
        <v>0</v>
      </c>
    </row>
    <row r="279" spans="13:13" x14ac:dyDescent="0.25">
      <c r="M279">
        <f>Table1[[#This Row],[Aboard]]-Table1[[#This Row],[Fatalities (air)]]</f>
        <v>0</v>
      </c>
    </row>
    <row r="280" spans="13:13" x14ac:dyDescent="0.25">
      <c r="M280">
        <f>Table1[[#This Row],[Aboard]]-Table1[[#This Row],[Fatalities (air)]]</f>
        <v>0</v>
      </c>
    </row>
    <row r="281" spans="13:13" x14ac:dyDescent="0.25">
      <c r="M281">
        <f>Table1[[#This Row],[Aboard]]-Table1[[#This Row],[Fatalities (air)]]</f>
        <v>0</v>
      </c>
    </row>
    <row r="282" spans="13:13" x14ac:dyDescent="0.25">
      <c r="M282">
        <f>Table1[[#This Row],[Aboard]]-Table1[[#This Row],[Fatalities (air)]]</f>
        <v>0</v>
      </c>
    </row>
    <row r="283" spans="13:13" x14ac:dyDescent="0.25">
      <c r="M283">
        <f>Table1[[#This Row],[Aboard]]-Table1[[#This Row],[Fatalities (air)]]</f>
        <v>0</v>
      </c>
    </row>
    <row r="284" spans="13:13" x14ac:dyDescent="0.25">
      <c r="M284">
        <f>Table1[[#This Row],[Aboard]]-Table1[[#This Row],[Fatalities (air)]]</f>
        <v>0</v>
      </c>
    </row>
    <row r="285" spans="13:13" x14ac:dyDescent="0.25">
      <c r="M285">
        <f>Table1[[#This Row],[Aboard]]-Table1[[#This Row],[Fatalities (air)]]</f>
        <v>0</v>
      </c>
    </row>
    <row r="286" spans="13:13" x14ac:dyDescent="0.25">
      <c r="M286">
        <f>Table1[[#This Row],[Aboard]]-Table1[[#This Row],[Fatalities (air)]]</f>
        <v>0</v>
      </c>
    </row>
    <row r="287" spans="13:13" x14ac:dyDescent="0.25">
      <c r="M287">
        <f>Table1[[#This Row],[Aboard]]-Table1[[#This Row],[Fatalities (air)]]</f>
        <v>0</v>
      </c>
    </row>
    <row r="288" spans="13:13" x14ac:dyDescent="0.25">
      <c r="M288">
        <f>Table1[[#This Row],[Aboard]]-Table1[[#This Row],[Fatalities (air)]]</f>
        <v>0</v>
      </c>
    </row>
    <row r="289" spans="13:13" x14ac:dyDescent="0.25">
      <c r="M289">
        <f>Table1[[#This Row],[Aboard]]-Table1[[#This Row],[Fatalities (air)]]</f>
        <v>0</v>
      </c>
    </row>
    <row r="290" spans="13:13" x14ac:dyDescent="0.25">
      <c r="M290">
        <f>Table1[[#This Row],[Aboard]]-Table1[[#This Row],[Fatalities (air)]]</f>
        <v>0</v>
      </c>
    </row>
    <row r="291" spans="13:13" x14ac:dyDescent="0.25">
      <c r="M291">
        <f>Table1[[#This Row],[Aboard]]-Table1[[#This Row],[Fatalities (air)]]</f>
        <v>0</v>
      </c>
    </row>
    <row r="292" spans="13:13" x14ac:dyDescent="0.25">
      <c r="M292">
        <f>Table1[[#This Row],[Aboard]]-Table1[[#This Row],[Fatalities (air)]]</f>
        <v>0</v>
      </c>
    </row>
    <row r="293" spans="13:13" x14ac:dyDescent="0.25">
      <c r="M293">
        <f>Table1[[#This Row],[Aboard]]-Table1[[#This Row],[Fatalities (air)]]</f>
        <v>0</v>
      </c>
    </row>
    <row r="294" spans="13:13" x14ac:dyDescent="0.25">
      <c r="M294">
        <f>Table1[[#This Row],[Aboard]]-Table1[[#This Row],[Fatalities (air)]]</f>
        <v>0</v>
      </c>
    </row>
    <row r="295" spans="13:13" x14ac:dyDescent="0.25">
      <c r="M295">
        <f>Table1[[#This Row],[Aboard]]-Table1[[#This Row],[Fatalities (air)]]</f>
        <v>0</v>
      </c>
    </row>
    <row r="296" spans="13:13" x14ac:dyDescent="0.25">
      <c r="M296">
        <f>Table1[[#This Row],[Aboard]]-Table1[[#This Row],[Fatalities (air)]]</f>
        <v>0</v>
      </c>
    </row>
    <row r="297" spans="13:13" x14ac:dyDescent="0.25">
      <c r="M297">
        <f>Table1[[#This Row],[Aboard]]-Table1[[#This Row],[Fatalities (air)]]</f>
        <v>0</v>
      </c>
    </row>
    <row r="298" spans="13:13" x14ac:dyDescent="0.25">
      <c r="M298">
        <f>Table1[[#This Row],[Aboard]]-Table1[[#This Row],[Fatalities (air)]]</f>
        <v>0</v>
      </c>
    </row>
    <row r="299" spans="13:13" x14ac:dyDescent="0.25">
      <c r="M299">
        <f>Table1[[#This Row],[Aboard]]-Table1[[#This Row],[Fatalities (air)]]</f>
        <v>0</v>
      </c>
    </row>
    <row r="300" spans="13:13" x14ac:dyDescent="0.25">
      <c r="M300">
        <f>Table1[[#This Row],[Aboard]]-Table1[[#This Row],[Fatalities (air)]]</f>
        <v>0</v>
      </c>
    </row>
    <row r="301" spans="13:13" x14ac:dyDescent="0.25">
      <c r="M301">
        <f>Table1[[#This Row],[Aboard]]-Table1[[#This Row],[Fatalities (air)]]</f>
        <v>0</v>
      </c>
    </row>
    <row r="302" spans="13:13" x14ac:dyDescent="0.25">
      <c r="M302">
        <f>Table1[[#This Row],[Aboard]]-Table1[[#This Row],[Fatalities (air)]]</f>
        <v>0</v>
      </c>
    </row>
    <row r="303" spans="13:13" x14ac:dyDescent="0.25">
      <c r="M303">
        <f>Table1[[#This Row],[Aboard]]-Table1[[#This Row],[Fatalities (air)]]</f>
        <v>0</v>
      </c>
    </row>
    <row r="304" spans="13:13" x14ac:dyDescent="0.25">
      <c r="M304">
        <f>Table1[[#This Row],[Aboard]]-Table1[[#This Row],[Fatalities (air)]]</f>
        <v>0</v>
      </c>
    </row>
    <row r="305" spans="13:13" x14ac:dyDescent="0.25">
      <c r="M305">
        <f>Table1[[#This Row],[Aboard]]-Table1[[#This Row],[Fatalities (air)]]</f>
        <v>0</v>
      </c>
    </row>
    <row r="306" spans="13:13" x14ac:dyDescent="0.25">
      <c r="M306">
        <f>Table1[[#This Row],[Aboard]]-Table1[[#This Row],[Fatalities (air)]]</f>
        <v>0</v>
      </c>
    </row>
    <row r="307" spans="13:13" x14ac:dyDescent="0.25">
      <c r="M307">
        <f>Table1[[#This Row],[Aboard]]-Table1[[#This Row],[Fatalities (air)]]</f>
        <v>0</v>
      </c>
    </row>
    <row r="308" spans="13:13" x14ac:dyDescent="0.25">
      <c r="M308">
        <f>Table1[[#This Row],[Aboard]]-Table1[[#This Row],[Fatalities (air)]]</f>
        <v>0</v>
      </c>
    </row>
    <row r="309" spans="13:13" x14ac:dyDescent="0.25">
      <c r="M309">
        <f>Table1[[#This Row],[Aboard]]-Table1[[#This Row],[Fatalities (air)]]</f>
        <v>0</v>
      </c>
    </row>
    <row r="310" spans="13:13" x14ac:dyDescent="0.25">
      <c r="M310">
        <f>Table1[[#This Row],[Aboard]]-Table1[[#This Row],[Fatalities (air)]]</f>
        <v>0</v>
      </c>
    </row>
    <row r="311" spans="13:13" x14ac:dyDescent="0.25">
      <c r="M311">
        <f>Table1[[#This Row],[Aboard]]-Table1[[#This Row],[Fatalities (air)]]</f>
        <v>0</v>
      </c>
    </row>
    <row r="312" spans="13:13" x14ac:dyDescent="0.25">
      <c r="M312">
        <f>Table1[[#This Row],[Aboard]]-Table1[[#This Row],[Fatalities (air)]]</f>
        <v>0</v>
      </c>
    </row>
    <row r="313" spans="13:13" x14ac:dyDescent="0.25">
      <c r="M313">
        <f>Table1[[#This Row],[Aboard]]-Table1[[#This Row],[Fatalities (air)]]</f>
        <v>0</v>
      </c>
    </row>
    <row r="314" spans="13:13" x14ac:dyDescent="0.25">
      <c r="M314">
        <f>Table1[[#This Row],[Aboard]]-Table1[[#This Row],[Fatalities (air)]]</f>
        <v>0</v>
      </c>
    </row>
    <row r="315" spans="13:13" x14ac:dyDescent="0.25">
      <c r="M315">
        <f>Table1[[#This Row],[Aboard]]-Table1[[#This Row],[Fatalities (air)]]</f>
        <v>0</v>
      </c>
    </row>
    <row r="316" spans="13:13" x14ac:dyDescent="0.25">
      <c r="M316">
        <f>Table1[[#This Row],[Aboard]]-Table1[[#This Row],[Fatalities (air)]]</f>
        <v>0</v>
      </c>
    </row>
    <row r="317" spans="13:13" x14ac:dyDescent="0.25">
      <c r="M317">
        <f>Table1[[#This Row],[Aboard]]-Table1[[#This Row],[Fatalities (air)]]</f>
        <v>0</v>
      </c>
    </row>
    <row r="318" spans="13:13" x14ac:dyDescent="0.25">
      <c r="M318">
        <f>Table1[[#This Row],[Aboard]]-Table1[[#This Row],[Fatalities (air)]]</f>
        <v>0</v>
      </c>
    </row>
    <row r="319" spans="13:13" x14ac:dyDescent="0.25">
      <c r="M319">
        <f>Table1[[#This Row],[Aboard]]-Table1[[#This Row],[Fatalities (air)]]</f>
        <v>0</v>
      </c>
    </row>
    <row r="320" spans="13:13" x14ac:dyDescent="0.25">
      <c r="M320">
        <f>Table1[[#This Row],[Aboard]]-Table1[[#This Row],[Fatalities (air)]]</f>
        <v>0</v>
      </c>
    </row>
    <row r="321" spans="13:13" x14ac:dyDescent="0.25">
      <c r="M321">
        <f>Table1[[#This Row],[Aboard]]-Table1[[#This Row],[Fatalities (air)]]</f>
        <v>0</v>
      </c>
    </row>
    <row r="322" spans="13:13" x14ac:dyDescent="0.25">
      <c r="M322">
        <f>Table1[[#This Row],[Aboard]]-Table1[[#This Row],[Fatalities (air)]]</f>
        <v>0</v>
      </c>
    </row>
    <row r="323" spans="13:13" x14ac:dyDescent="0.25">
      <c r="M323">
        <f>Table1[[#This Row],[Aboard]]-Table1[[#This Row],[Fatalities (air)]]</f>
        <v>0</v>
      </c>
    </row>
    <row r="324" spans="13:13" x14ac:dyDescent="0.25">
      <c r="M324">
        <f>Table1[[#This Row],[Aboard]]-Table1[[#This Row],[Fatalities (air)]]</f>
        <v>0</v>
      </c>
    </row>
    <row r="325" spans="13:13" x14ac:dyDescent="0.25">
      <c r="M325">
        <f>Table1[[#This Row],[Aboard]]-Table1[[#This Row],[Fatalities (air)]]</f>
        <v>0</v>
      </c>
    </row>
    <row r="326" spans="13:13" x14ac:dyDescent="0.25">
      <c r="M326">
        <f>Table1[[#This Row],[Aboard]]-Table1[[#This Row],[Fatalities (air)]]</f>
        <v>0</v>
      </c>
    </row>
    <row r="327" spans="13:13" x14ac:dyDescent="0.25">
      <c r="M327">
        <f>Table1[[#This Row],[Aboard]]-Table1[[#This Row],[Fatalities (air)]]</f>
        <v>0</v>
      </c>
    </row>
    <row r="328" spans="13:13" x14ac:dyDescent="0.25">
      <c r="M328">
        <f>Table1[[#This Row],[Aboard]]-Table1[[#This Row],[Fatalities (air)]]</f>
        <v>0</v>
      </c>
    </row>
    <row r="329" spans="13:13" x14ac:dyDescent="0.25">
      <c r="M329">
        <f>Table1[[#This Row],[Aboard]]-Table1[[#This Row],[Fatalities (air)]]</f>
        <v>0</v>
      </c>
    </row>
    <row r="330" spans="13:13" x14ac:dyDescent="0.25">
      <c r="M330">
        <f>Table1[[#This Row],[Aboard]]-Table1[[#This Row],[Fatalities (air)]]</f>
        <v>0</v>
      </c>
    </row>
    <row r="331" spans="13:13" x14ac:dyDescent="0.25">
      <c r="M331">
        <f>Table1[[#This Row],[Aboard]]-Table1[[#This Row],[Fatalities (air)]]</f>
        <v>0</v>
      </c>
    </row>
    <row r="332" spans="13:13" x14ac:dyDescent="0.25">
      <c r="M332">
        <f>Table1[[#This Row],[Aboard]]-Table1[[#This Row],[Fatalities (air)]]</f>
        <v>0</v>
      </c>
    </row>
    <row r="333" spans="13:13" x14ac:dyDescent="0.25">
      <c r="M333">
        <f>Table1[[#This Row],[Aboard]]-Table1[[#This Row],[Fatalities (air)]]</f>
        <v>0</v>
      </c>
    </row>
    <row r="334" spans="13:13" x14ac:dyDescent="0.25">
      <c r="M334">
        <f>Table1[[#This Row],[Aboard]]-Table1[[#This Row],[Fatalities (air)]]</f>
        <v>0</v>
      </c>
    </row>
    <row r="335" spans="13:13" x14ac:dyDescent="0.25">
      <c r="M335">
        <f>Table1[[#This Row],[Aboard]]-Table1[[#This Row],[Fatalities (air)]]</f>
        <v>0</v>
      </c>
    </row>
    <row r="336" spans="13:13" x14ac:dyDescent="0.25">
      <c r="M336">
        <f>Table1[[#This Row],[Aboard]]-Table1[[#This Row],[Fatalities (air)]]</f>
        <v>0</v>
      </c>
    </row>
    <row r="337" spans="13:13" x14ac:dyDescent="0.25">
      <c r="M337">
        <f>Table1[[#This Row],[Aboard]]-Table1[[#This Row],[Fatalities (air)]]</f>
        <v>0</v>
      </c>
    </row>
    <row r="338" spans="13:13" x14ac:dyDescent="0.25">
      <c r="M338">
        <f>Table1[[#This Row],[Aboard]]-Table1[[#This Row],[Fatalities (air)]]</f>
        <v>0</v>
      </c>
    </row>
    <row r="339" spans="13:13" x14ac:dyDescent="0.25">
      <c r="M339">
        <f>Table1[[#This Row],[Aboard]]-Table1[[#This Row],[Fatalities (air)]]</f>
        <v>0</v>
      </c>
    </row>
    <row r="340" spans="13:13" x14ac:dyDescent="0.25">
      <c r="M340">
        <f>Table1[[#This Row],[Aboard]]-Table1[[#This Row],[Fatalities (air)]]</f>
        <v>0</v>
      </c>
    </row>
    <row r="341" spans="13:13" x14ac:dyDescent="0.25">
      <c r="M341">
        <f>Table1[[#This Row],[Aboard]]-Table1[[#This Row],[Fatalities (air)]]</f>
        <v>0</v>
      </c>
    </row>
    <row r="342" spans="13:13" x14ac:dyDescent="0.25">
      <c r="M342">
        <f>Table1[[#This Row],[Aboard]]-Table1[[#This Row],[Fatalities (air)]]</f>
        <v>0</v>
      </c>
    </row>
    <row r="343" spans="13:13" x14ac:dyDescent="0.25">
      <c r="M343">
        <f>Table1[[#This Row],[Aboard]]-Table1[[#This Row],[Fatalities (air)]]</f>
        <v>0</v>
      </c>
    </row>
    <row r="344" spans="13:13" x14ac:dyDescent="0.25">
      <c r="M344">
        <f>Table1[[#This Row],[Aboard]]-Table1[[#This Row],[Fatalities (air)]]</f>
        <v>0</v>
      </c>
    </row>
    <row r="345" spans="13:13" x14ac:dyDescent="0.25">
      <c r="M345">
        <f>Table1[[#This Row],[Aboard]]-Table1[[#This Row],[Fatalities (air)]]</f>
        <v>0</v>
      </c>
    </row>
    <row r="346" spans="13:13" x14ac:dyDescent="0.25">
      <c r="M346">
        <f>Table1[[#This Row],[Aboard]]-Table1[[#This Row],[Fatalities (air)]]</f>
        <v>0</v>
      </c>
    </row>
    <row r="347" spans="13:13" x14ac:dyDescent="0.25">
      <c r="M347">
        <f>Table1[[#This Row],[Aboard]]-Table1[[#This Row],[Fatalities (air)]]</f>
        <v>0</v>
      </c>
    </row>
    <row r="348" spans="13:13" x14ac:dyDescent="0.25">
      <c r="M348">
        <f>Table1[[#This Row],[Aboard]]-Table1[[#This Row],[Fatalities (air)]]</f>
        <v>0</v>
      </c>
    </row>
    <row r="349" spans="13:13" x14ac:dyDescent="0.25">
      <c r="M349">
        <f>Table1[[#This Row],[Aboard]]-Table1[[#This Row],[Fatalities (air)]]</f>
        <v>0</v>
      </c>
    </row>
    <row r="350" spans="13:13" x14ac:dyDescent="0.25">
      <c r="M350">
        <f>Table1[[#This Row],[Aboard]]-Table1[[#This Row],[Fatalities (air)]]</f>
        <v>0</v>
      </c>
    </row>
    <row r="351" spans="13:13" x14ac:dyDescent="0.25">
      <c r="M351">
        <f>Table1[[#This Row],[Aboard]]-Table1[[#This Row],[Fatalities (air)]]</f>
        <v>0</v>
      </c>
    </row>
    <row r="352" spans="13:13" x14ac:dyDescent="0.25">
      <c r="M352">
        <f>Table1[[#This Row],[Aboard]]-Table1[[#This Row],[Fatalities (air)]]</f>
        <v>0</v>
      </c>
    </row>
    <row r="353" spans="13:13" x14ac:dyDescent="0.25">
      <c r="M353">
        <f>Table1[[#This Row],[Aboard]]-Table1[[#This Row],[Fatalities (air)]]</f>
        <v>0</v>
      </c>
    </row>
    <row r="354" spans="13:13" x14ac:dyDescent="0.25">
      <c r="M354">
        <f>Table1[[#This Row],[Aboard]]-Table1[[#This Row],[Fatalities (air)]]</f>
        <v>0</v>
      </c>
    </row>
    <row r="355" spans="13:13" x14ac:dyDescent="0.25">
      <c r="M355">
        <f>Table1[[#This Row],[Aboard]]-Table1[[#This Row],[Fatalities (air)]]</f>
        <v>0</v>
      </c>
    </row>
    <row r="356" spans="13:13" x14ac:dyDescent="0.25">
      <c r="M356">
        <f>Table1[[#This Row],[Aboard]]-Table1[[#This Row],[Fatalities (air)]]</f>
        <v>0</v>
      </c>
    </row>
    <row r="357" spans="13:13" x14ac:dyDescent="0.25">
      <c r="M357">
        <f>Table1[[#This Row],[Aboard]]-Table1[[#This Row],[Fatalities (air)]]</f>
        <v>0</v>
      </c>
    </row>
    <row r="358" spans="13:13" x14ac:dyDescent="0.25">
      <c r="M358">
        <f>Table1[[#This Row],[Aboard]]-Table1[[#This Row],[Fatalities (air)]]</f>
        <v>0</v>
      </c>
    </row>
    <row r="359" spans="13:13" x14ac:dyDescent="0.25">
      <c r="M359">
        <f>Table1[[#This Row],[Aboard]]-Table1[[#This Row],[Fatalities (air)]]</f>
        <v>0</v>
      </c>
    </row>
    <row r="360" spans="13:13" x14ac:dyDescent="0.25">
      <c r="M360">
        <f>Table1[[#This Row],[Aboard]]-Table1[[#This Row],[Fatalities (air)]]</f>
        <v>0</v>
      </c>
    </row>
    <row r="361" spans="13:13" x14ac:dyDescent="0.25">
      <c r="M361">
        <f>Table1[[#This Row],[Aboard]]-Table1[[#This Row],[Fatalities (air)]]</f>
        <v>0</v>
      </c>
    </row>
    <row r="362" spans="13:13" x14ac:dyDescent="0.25">
      <c r="M362">
        <f>Table1[[#This Row],[Aboard]]-Table1[[#This Row],[Fatalities (air)]]</f>
        <v>0</v>
      </c>
    </row>
    <row r="363" spans="13:13" x14ac:dyDescent="0.25">
      <c r="M363">
        <f>Table1[[#This Row],[Aboard]]-Table1[[#This Row],[Fatalities (air)]]</f>
        <v>0</v>
      </c>
    </row>
    <row r="364" spans="13:13" x14ac:dyDescent="0.25">
      <c r="M364">
        <f>Table1[[#This Row],[Aboard]]-Table1[[#This Row],[Fatalities (air)]]</f>
        <v>0</v>
      </c>
    </row>
    <row r="365" spans="13:13" x14ac:dyDescent="0.25">
      <c r="M365">
        <f>Table1[[#This Row],[Aboard]]-Table1[[#This Row],[Fatalities (air)]]</f>
        <v>0</v>
      </c>
    </row>
    <row r="366" spans="13:13" x14ac:dyDescent="0.25">
      <c r="M366">
        <f>Table1[[#This Row],[Aboard]]-Table1[[#This Row],[Fatalities (air)]]</f>
        <v>0</v>
      </c>
    </row>
    <row r="367" spans="13:13" x14ac:dyDescent="0.25">
      <c r="M367">
        <f>Table1[[#This Row],[Aboard]]-Table1[[#This Row],[Fatalities (air)]]</f>
        <v>0</v>
      </c>
    </row>
    <row r="368" spans="13:13" x14ac:dyDescent="0.25">
      <c r="M368">
        <f>Table1[[#This Row],[Aboard]]-Table1[[#This Row],[Fatalities (air)]]</f>
        <v>0</v>
      </c>
    </row>
    <row r="369" spans="13:13" x14ac:dyDescent="0.25">
      <c r="M369">
        <f>Table1[[#This Row],[Aboard]]-Table1[[#This Row],[Fatalities (air)]]</f>
        <v>0</v>
      </c>
    </row>
    <row r="370" spans="13:13" x14ac:dyDescent="0.25">
      <c r="M370">
        <f>Table1[[#This Row],[Aboard]]-Table1[[#This Row],[Fatalities (air)]]</f>
        <v>0</v>
      </c>
    </row>
    <row r="371" spans="13:13" x14ac:dyDescent="0.25">
      <c r="M371">
        <f>Table1[[#This Row],[Aboard]]-Table1[[#This Row],[Fatalities (air)]]</f>
        <v>0</v>
      </c>
    </row>
    <row r="372" spans="13:13" x14ac:dyDescent="0.25">
      <c r="M372">
        <f>Table1[[#This Row],[Aboard]]-Table1[[#This Row],[Fatalities (air)]]</f>
        <v>0</v>
      </c>
    </row>
    <row r="373" spans="13:13" x14ac:dyDescent="0.25">
      <c r="M373">
        <f>Table1[[#This Row],[Aboard]]-Table1[[#This Row],[Fatalities (air)]]</f>
        <v>0</v>
      </c>
    </row>
    <row r="374" spans="13:13" x14ac:dyDescent="0.25">
      <c r="M374">
        <f>Table1[[#This Row],[Aboard]]-Table1[[#This Row],[Fatalities (air)]]</f>
        <v>0</v>
      </c>
    </row>
    <row r="375" spans="13:13" x14ac:dyDescent="0.25">
      <c r="M375">
        <f>Table1[[#This Row],[Aboard]]-Table1[[#This Row],[Fatalities (air)]]</f>
        <v>0</v>
      </c>
    </row>
    <row r="376" spans="13:13" x14ac:dyDescent="0.25">
      <c r="M376">
        <f>Table1[[#This Row],[Aboard]]-Table1[[#This Row],[Fatalities (air)]]</f>
        <v>0</v>
      </c>
    </row>
    <row r="377" spans="13:13" x14ac:dyDescent="0.25">
      <c r="M377">
        <f>Table1[[#This Row],[Aboard]]-Table1[[#This Row],[Fatalities (air)]]</f>
        <v>0</v>
      </c>
    </row>
    <row r="378" spans="13:13" x14ac:dyDescent="0.25">
      <c r="M378">
        <f>Table1[[#This Row],[Aboard]]-Table1[[#This Row],[Fatalities (air)]]</f>
        <v>0</v>
      </c>
    </row>
    <row r="379" spans="13:13" x14ac:dyDescent="0.25">
      <c r="M379">
        <f>Table1[[#This Row],[Aboard]]-Table1[[#This Row],[Fatalities (air)]]</f>
        <v>0</v>
      </c>
    </row>
    <row r="380" spans="13:13" x14ac:dyDescent="0.25">
      <c r="M380">
        <f>Table1[[#This Row],[Aboard]]-Table1[[#This Row],[Fatalities (air)]]</f>
        <v>0</v>
      </c>
    </row>
    <row r="381" spans="13:13" x14ac:dyDescent="0.25">
      <c r="M381">
        <f>Table1[[#This Row],[Aboard]]-Table1[[#This Row],[Fatalities (air)]]</f>
        <v>0</v>
      </c>
    </row>
    <row r="382" spans="13:13" x14ac:dyDescent="0.25">
      <c r="M382">
        <f>Table1[[#This Row],[Aboard]]-Table1[[#This Row],[Fatalities (air)]]</f>
        <v>0</v>
      </c>
    </row>
    <row r="383" spans="13:13" x14ac:dyDescent="0.25">
      <c r="M383">
        <f>Table1[[#This Row],[Aboard]]-Table1[[#This Row],[Fatalities (air)]]</f>
        <v>0</v>
      </c>
    </row>
    <row r="384" spans="13:13" x14ac:dyDescent="0.25">
      <c r="M384">
        <f>Table1[[#This Row],[Aboard]]-Table1[[#This Row],[Fatalities (air)]]</f>
        <v>0</v>
      </c>
    </row>
    <row r="385" spans="13:13" x14ac:dyDescent="0.25">
      <c r="M385">
        <f>Table1[[#This Row],[Aboard]]-Table1[[#This Row],[Fatalities (air)]]</f>
        <v>0</v>
      </c>
    </row>
    <row r="386" spans="13:13" x14ac:dyDescent="0.25">
      <c r="M386">
        <f>Table1[[#This Row],[Aboard]]-Table1[[#This Row],[Fatalities (air)]]</f>
        <v>0</v>
      </c>
    </row>
    <row r="387" spans="13:13" x14ac:dyDescent="0.25">
      <c r="M387">
        <f>Table1[[#This Row],[Aboard]]-Table1[[#This Row],[Fatalities (air)]]</f>
        <v>0</v>
      </c>
    </row>
    <row r="388" spans="13:13" x14ac:dyDescent="0.25">
      <c r="M388">
        <f>Table1[[#This Row],[Aboard]]-Table1[[#This Row],[Fatalities (air)]]</f>
        <v>0</v>
      </c>
    </row>
    <row r="389" spans="13:13" x14ac:dyDescent="0.25">
      <c r="M389">
        <f>Table1[[#This Row],[Aboard]]-Table1[[#This Row],[Fatalities (air)]]</f>
        <v>0</v>
      </c>
    </row>
    <row r="390" spans="13:13" x14ac:dyDescent="0.25">
      <c r="M390">
        <f>Table1[[#This Row],[Aboard]]-Table1[[#This Row],[Fatalities (air)]]</f>
        <v>0</v>
      </c>
    </row>
    <row r="391" spans="13:13" x14ac:dyDescent="0.25">
      <c r="M391">
        <f>Table1[[#This Row],[Aboard]]-Table1[[#This Row],[Fatalities (air)]]</f>
        <v>0</v>
      </c>
    </row>
    <row r="392" spans="13:13" x14ac:dyDescent="0.25">
      <c r="M392">
        <f>Table1[[#This Row],[Aboard]]-Table1[[#This Row],[Fatalities (air)]]</f>
        <v>0</v>
      </c>
    </row>
    <row r="393" spans="13:13" x14ac:dyDescent="0.25">
      <c r="M393">
        <f>Table1[[#This Row],[Aboard]]-Table1[[#This Row],[Fatalities (air)]]</f>
        <v>0</v>
      </c>
    </row>
    <row r="394" spans="13:13" x14ac:dyDescent="0.25">
      <c r="M394">
        <f>Table1[[#This Row],[Aboard]]-Table1[[#This Row],[Fatalities (air)]]</f>
        <v>0</v>
      </c>
    </row>
    <row r="395" spans="13:13" x14ac:dyDescent="0.25">
      <c r="M395">
        <f>Table1[[#This Row],[Aboard]]-Table1[[#This Row],[Fatalities (air)]]</f>
        <v>0</v>
      </c>
    </row>
    <row r="396" spans="13:13" x14ac:dyDescent="0.25">
      <c r="M396">
        <f>Table1[[#This Row],[Aboard]]-Table1[[#This Row],[Fatalities (air)]]</f>
        <v>0</v>
      </c>
    </row>
    <row r="397" spans="13:13" x14ac:dyDescent="0.25">
      <c r="M397">
        <f>Table1[[#This Row],[Aboard]]-Table1[[#This Row],[Fatalities (air)]]</f>
        <v>0</v>
      </c>
    </row>
    <row r="398" spans="13:13" x14ac:dyDescent="0.25">
      <c r="M398">
        <f>Table1[[#This Row],[Aboard]]-Table1[[#This Row],[Fatalities (air)]]</f>
        <v>0</v>
      </c>
    </row>
    <row r="399" spans="13:13" x14ac:dyDescent="0.25">
      <c r="M399">
        <f>Table1[[#This Row],[Aboard]]-Table1[[#This Row],[Fatalities (air)]]</f>
        <v>0</v>
      </c>
    </row>
    <row r="400" spans="13:13" x14ac:dyDescent="0.25">
      <c r="M400">
        <f>Table1[[#This Row],[Aboard]]-Table1[[#This Row],[Fatalities (air)]]</f>
        <v>0</v>
      </c>
    </row>
    <row r="401" spans="13:13" x14ac:dyDescent="0.25">
      <c r="M401">
        <f>Table1[[#This Row],[Aboard]]-Table1[[#This Row],[Fatalities (air)]]</f>
        <v>0</v>
      </c>
    </row>
    <row r="402" spans="13:13" x14ac:dyDescent="0.25">
      <c r="M402">
        <f>Table1[[#This Row],[Aboard]]-Table1[[#This Row],[Fatalities (air)]]</f>
        <v>0</v>
      </c>
    </row>
    <row r="403" spans="13:13" x14ac:dyDescent="0.25">
      <c r="M403">
        <f>Table1[[#This Row],[Aboard]]-Table1[[#This Row],[Fatalities (air)]]</f>
        <v>0</v>
      </c>
    </row>
    <row r="404" spans="13:13" x14ac:dyDescent="0.25">
      <c r="M404">
        <f>Table1[[#This Row],[Aboard]]-Table1[[#This Row],[Fatalities (air)]]</f>
        <v>0</v>
      </c>
    </row>
    <row r="405" spans="13:13" x14ac:dyDescent="0.25">
      <c r="M405">
        <f>Table1[[#This Row],[Aboard]]-Table1[[#This Row],[Fatalities (air)]]</f>
        <v>0</v>
      </c>
    </row>
    <row r="406" spans="13:13" x14ac:dyDescent="0.25">
      <c r="M406">
        <f>Table1[[#This Row],[Aboard]]-Table1[[#This Row],[Fatalities (air)]]</f>
        <v>0</v>
      </c>
    </row>
    <row r="407" spans="13:13" x14ac:dyDescent="0.25">
      <c r="M407">
        <f>Table1[[#This Row],[Aboard]]-Table1[[#This Row],[Fatalities (air)]]</f>
        <v>0</v>
      </c>
    </row>
    <row r="408" spans="13:13" x14ac:dyDescent="0.25">
      <c r="M408">
        <f>Table1[[#This Row],[Aboard]]-Table1[[#This Row],[Fatalities (air)]]</f>
        <v>0</v>
      </c>
    </row>
    <row r="409" spans="13:13" x14ac:dyDescent="0.25">
      <c r="M409">
        <f>Table1[[#This Row],[Aboard]]-Table1[[#This Row],[Fatalities (air)]]</f>
        <v>0</v>
      </c>
    </row>
    <row r="410" spans="13:13" x14ac:dyDescent="0.25">
      <c r="M410">
        <f>Table1[[#This Row],[Aboard]]-Table1[[#This Row],[Fatalities (air)]]</f>
        <v>0</v>
      </c>
    </row>
    <row r="411" spans="13:13" x14ac:dyDescent="0.25">
      <c r="M411">
        <f>Table1[[#This Row],[Aboard]]-Table1[[#This Row],[Fatalities (air)]]</f>
        <v>0</v>
      </c>
    </row>
    <row r="412" spans="13:13" x14ac:dyDescent="0.25">
      <c r="M412">
        <f>Table1[[#This Row],[Aboard]]-Table1[[#This Row],[Fatalities (air)]]</f>
        <v>0</v>
      </c>
    </row>
    <row r="413" spans="13:13" x14ac:dyDescent="0.25">
      <c r="M413">
        <f>Table1[[#This Row],[Aboard]]-Table1[[#This Row],[Fatalities (air)]]</f>
        <v>0</v>
      </c>
    </row>
    <row r="414" spans="13:13" x14ac:dyDescent="0.25">
      <c r="M414">
        <f>Table1[[#This Row],[Aboard]]-Table1[[#This Row],[Fatalities (air)]]</f>
        <v>0</v>
      </c>
    </row>
    <row r="415" spans="13:13" x14ac:dyDescent="0.25">
      <c r="M415">
        <f>Table1[[#This Row],[Aboard]]-Table1[[#This Row],[Fatalities (air)]]</f>
        <v>0</v>
      </c>
    </row>
    <row r="416" spans="13:13" x14ac:dyDescent="0.25">
      <c r="M416">
        <f>Table1[[#This Row],[Aboard]]-Table1[[#This Row],[Fatalities (air)]]</f>
        <v>0</v>
      </c>
    </row>
    <row r="417" spans="13:13" x14ac:dyDescent="0.25">
      <c r="M417">
        <f>Table1[[#This Row],[Aboard]]-Table1[[#This Row],[Fatalities (air)]]</f>
        <v>0</v>
      </c>
    </row>
    <row r="418" spans="13:13" x14ac:dyDescent="0.25">
      <c r="M418">
        <f>Table1[[#This Row],[Aboard]]-Table1[[#This Row],[Fatalities (air)]]</f>
        <v>0</v>
      </c>
    </row>
    <row r="419" spans="13:13" x14ac:dyDescent="0.25">
      <c r="M419">
        <f>Table1[[#This Row],[Aboard]]-Table1[[#This Row],[Fatalities (air)]]</f>
        <v>0</v>
      </c>
    </row>
    <row r="420" spans="13:13" x14ac:dyDescent="0.25">
      <c r="M420">
        <f>Table1[[#This Row],[Aboard]]-Table1[[#This Row],[Fatalities (air)]]</f>
        <v>0</v>
      </c>
    </row>
    <row r="421" spans="13:13" x14ac:dyDescent="0.25">
      <c r="M421">
        <f>Table1[[#This Row],[Aboard]]-Table1[[#This Row],[Fatalities (air)]]</f>
        <v>0</v>
      </c>
    </row>
    <row r="422" spans="13:13" x14ac:dyDescent="0.25">
      <c r="M422">
        <f>Table1[[#This Row],[Aboard]]-Table1[[#This Row],[Fatalities (air)]]</f>
        <v>0</v>
      </c>
    </row>
    <row r="423" spans="13:13" x14ac:dyDescent="0.25">
      <c r="M423">
        <f>Table1[[#This Row],[Aboard]]-Table1[[#This Row],[Fatalities (air)]]</f>
        <v>0</v>
      </c>
    </row>
    <row r="424" spans="13:13" x14ac:dyDescent="0.25">
      <c r="M424">
        <f>Table1[[#This Row],[Aboard]]-Table1[[#This Row],[Fatalities (air)]]</f>
        <v>0</v>
      </c>
    </row>
    <row r="425" spans="13:13" x14ac:dyDescent="0.25">
      <c r="M425">
        <f>Table1[[#This Row],[Aboard]]-Table1[[#This Row],[Fatalities (air)]]</f>
        <v>0</v>
      </c>
    </row>
    <row r="426" spans="13:13" x14ac:dyDescent="0.25">
      <c r="M426">
        <f>Table1[[#This Row],[Aboard]]-Table1[[#This Row],[Fatalities (air)]]</f>
        <v>0</v>
      </c>
    </row>
    <row r="427" spans="13:13" x14ac:dyDescent="0.25">
      <c r="M427">
        <f>Table1[[#This Row],[Aboard]]-Table1[[#This Row],[Fatalities (air)]]</f>
        <v>0</v>
      </c>
    </row>
    <row r="428" spans="13:13" x14ac:dyDescent="0.25">
      <c r="M428">
        <f>Table1[[#This Row],[Aboard]]-Table1[[#This Row],[Fatalities (air)]]</f>
        <v>0</v>
      </c>
    </row>
    <row r="429" spans="13:13" x14ac:dyDescent="0.25">
      <c r="M429">
        <f>Table1[[#This Row],[Aboard]]-Table1[[#This Row],[Fatalities (air)]]</f>
        <v>0</v>
      </c>
    </row>
    <row r="430" spans="13:13" x14ac:dyDescent="0.25">
      <c r="M430">
        <f>Table1[[#This Row],[Aboard]]-Table1[[#This Row],[Fatalities (air)]]</f>
        <v>0</v>
      </c>
    </row>
    <row r="431" spans="13:13" x14ac:dyDescent="0.25">
      <c r="M431">
        <f>Table1[[#This Row],[Aboard]]-Table1[[#This Row],[Fatalities (air)]]</f>
        <v>0</v>
      </c>
    </row>
    <row r="432" spans="13:13" x14ac:dyDescent="0.25">
      <c r="M432">
        <f>Table1[[#This Row],[Aboard]]-Table1[[#This Row],[Fatalities (air)]]</f>
        <v>0</v>
      </c>
    </row>
    <row r="433" spans="13:13" x14ac:dyDescent="0.25">
      <c r="M433">
        <f>Table1[[#This Row],[Aboard]]-Table1[[#This Row],[Fatalities (air)]]</f>
        <v>0</v>
      </c>
    </row>
    <row r="434" spans="13:13" x14ac:dyDescent="0.25">
      <c r="M434">
        <f>Table1[[#This Row],[Aboard]]-Table1[[#This Row],[Fatalities (air)]]</f>
        <v>0</v>
      </c>
    </row>
    <row r="435" spans="13:13" x14ac:dyDescent="0.25">
      <c r="M435">
        <f>Table1[[#This Row],[Aboard]]-Table1[[#This Row],[Fatalities (air)]]</f>
        <v>0</v>
      </c>
    </row>
    <row r="436" spans="13:13" x14ac:dyDescent="0.25">
      <c r="M436">
        <f>Table1[[#This Row],[Aboard]]-Table1[[#This Row],[Fatalities (air)]]</f>
        <v>0</v>
      </c>
    </row>
    <row r="437" spans="13:13" x14ac:dyDescent="0.25">
      <c r="M437">
        <f>Table1[[#This Row],[Aboard]]-Table1[[#This Row],[Fatalities (air)]]</f>
        <v>0</v>
      </c>
    </row>
    <row r="438" spans="13:13" x14ac:dyDescent="0.25">
      <c r="M438">
        <f>Table1[[#This Row],[Aboard]]-Table1[[#This Row],[Fatalities (air)]]</f>
        <v>0</v>
      </c>
    </row>
    <row r="439" spans="13:13" x14ac:dyDescent="0.25">
      <c r="M439">
        <f>Table1[[#This Row],[Aboard]]-Table1[[#This Row],[Fatalities (air)]]</f>
        <v>0</v>
      </c>
    </row>
    <row r="440" spans="13:13" x14ac:dyDescent="0.25">
      <c r="M440">
        <f>Table1[[#This Row],[Aboard]]-Table1[[#This Row],[Fatalities (air)]]</f>
        <v>0</v>
      </c>
    </row>
    <row r="441" spans="13:13" x14ac:dyDescent="0.25">
      <c r="M441">
        <f>Table1[[#This Row],[Aboard]]-Table1[[#This Row],[Fatalities (air)]]</f>
        <v>0</v>
      </c>
    </row>
    <row r="442" spans="13:13" x14ac:dyDescent="0.25">
      <c r="M442">
        <f>Table1[[#This Row],[Aboard]]-Table1[[#This Row],[Fatalities (air)]]</f>
        <v>0</v>
      </c>
    </row>
    <row r="443" spans="13:13" x14ac:dyDescent="0.25">
      <c r="M443">
        <f>Table1[[#This Row],[Aboard]]-Table1[[#This Row],[Fatalities (air)]]</f>
        <v>0</v>
      </c>
    </row>
    <row r="444" spans="13:13" x14ac:dyDescent="0.25">
      <c r="M444">
        <f>Table1[[#This Row],[Aboard]]-Table1[[#This Row],[Fatalities (air)]]</f>
        <v>0</v>
      </c>
    </row>
    <row r="445" spans="13:13" x14ac:dyDescent="0.25">
      <c r="M445">
        <f>Table1[[#This Row],[Aboard]]-Table1[[#This Row],[Fatalities (air)]]</f>
        <v>0</v>
      </c>
    </row>
    <row r="446" spans="13:13" x14ac:dyDescent="0.25">
      <c r="M446">
        <f>Table1[[#This Row],[Aboard]]-Table1[[#This Row],[Fatalities (air)]]</f>
        <v>0</v>
      </c>
    </row>
    <row r="447" spans="13:13" x14ac:dyDescent="0.25">
      <c r="M447">
        <f>Table1[[#This Row],[Aboard]]-Table1[[#This Row],[Fatalities (air)]]</f>
        <v>0</v>
      </c>
    </row>
    <row r="448" spans="13:13" x14ac:dyDescent="0.25">
      <c r="M448">
        <f>Table1[[#This Row],[Aboard]]-Table1[[#This Row],[Fatalities (air)]]</f>
        <v>0</v>
      </c>
    </row>
    <row r="449" spans="13:13" x14ac:dyDescent="0.25">
      <c r="M449">
        <f>Table1[[#This Row],[Aboard]]-Table1[[#This Row],[Fatalities (air)]]</f>
        <v>0</v>
      </c>
    </row>
    <row r="450" spans="13:13" x14ac:dyDescent="0.25">
      <c r="M450">
        <f>Table1[[#This Row],[Aboard]]-Table1[[#This Row],[Fatalities (air)]]</f>
        <v>0</v>
      </c>
    </row>
    <row r="451" spans="13:13" x14ac:dyDescent="0.25">
      <c r="M451">
        <f>Table1[[#This Row],[Aboard]]-Table1[[#This Row],[Fatalities (air)]]</f>
        <v>0</v>
      </c>
    </row>
    <row r="452" spans="13:13" x14ac:dyDescent="0.25">
      <c r="M452">
        <f>Table1[[#This Row],[Aboard]]-Table1[[#This Row],[Fatalities (air)]]</f>
        <v>0</v>
      </c>
    </row>
    <row r="453" spans="13:13" x14ac:dyDescent="0.25">
      <c r="M453">
        <f>Table1[[#This Row],[Aboard]]-Table1[[#This Row],[Fatalities (air)]]</f>
        <v>0</v>
      </c>
    </row>
    <row r="454" spans="13:13" x14ac:dyDescent="0.25">
      <c r="M454">
        <f>Table1[[#This Row],[Aboard]]-Table1[[#This Row],[Fatalities (air)]]</f>
        <v>0</v>
      </c>
    </row>
    <row r="455" spans="13:13" x14ac:dyDescent="0.25">
      <c r="M455">
        <f>Table1[[#This Row],[Aboard]]-Table1[[#This Row],[Fatalities (air)]]</f>
        <v>0</v>
      </c>
    </row>
    <row r="456" spans="13:13" x14ac:dyDescent="0.25">
      <c r="M456">
        <f>Table1[[#This Row],[Aboard]]-Table1[[#This Row],[Fatalities (air)]]</f>
        <v>0</v>
      </c>
    </row>
    <row r="457" spans="13:13" x14ac:dyDescent="0.25">
      <c r="M457">
        <f>Table1[[#This Row],[Aboard]]-Table1[[#This Row],[Fatalities (air)]]</f>
        <v>0</v>
      </c>
    </row>
    <row r="458" spans="13:13" x14ac:dyDescent="0.25">
      <c r="M458">
        <f>Table1[[#This Row],[Aboard]]-Table1[[#This Row],[Fatalities (air)]]</f>
        <v>0</v>
      </c>
    </row>
    <row r="459" spans="13:13" x14ac:dyDescent="0.25">
      <c r="M459">
        <f>Table1[[#This Row],[Aboard]]-Table1[[#This Row],[Fatalities (air)]]</f>
        <v>0</v>
      </c>
    </row>
    <row r="460" spans="13:13" x14ac:dyDescent="0.25">
      <c r="M460">
        <f>Table1[[#This Row],[Aboard]]-Table1[[#This Row],[Fatalities (air)]]</f>
        <v>0</v>
      </c>
    </row>
    <row r="461" spans="13:13" x14ac:dyDescent="0.25">
      <c r="M461">
        <f>Table1[[#This Row],[Aboard]]-Table1[[#This Row],[Fatalities (air)]]</f>
        <v>0</v>
      </c>
    </row>
    <row r="462" spans="13:13" x14ac:dyDescent="0.25">
      <c r="M462">
        <f>Table1[[#This Row],[Aboard]]-Table1[[#This Row],[Fatalities (air)]]</f>
        <v>0</v>
      </c>
    </row>
    <row r="463" spans="13:13" x14ac:dyDescent="0.25">
      <c r="M463">
        <f>Table1[[#This Row],[Aboard]]-Table1[[#This Row],[Fatalities (air)]]</f>
        <v>0</v>
      </c>
    </row>
    <row r="464" spans="13:13" x14ac:dyDescent="0.25">
      <c r="M464">
        <f>Table1[[#This Row],[Aboard]]-Table1[[#This Row],[Fatalities (air)]]</f>
        <v>0</v>
      </c>
    </row>
    <row r="465" spans="13:13" x14ac:dyDescent="0.25">
      <c r="M465">
        <f>Table1[[#This Row],[Aboard]]-Table1[[#This Row],[Fatalities (air)]]</f>
        <v>0</v>
      </c>
    </row>
    <row r="466" spans="13:13" x14ac:dyDescent="0.25">
      <c r="M466">
        <f>Table1[[#This Row],[Aboard]]-Table1[[#This Row],[Fatalities (air)]]</f>
        <v>0</v>
      </c>
    </row>
    <row r="467" spans="13:13" x14ac:dyDescent="0.25">
      <c r="M467">
        <f>Table1[[#This Row],[Aboard]]-Table1[[#This Row],[Fatalities (air)]]</f>
        <v>0</v>
      </c>
    </row>
    <row r="468" spans="13:13" x14ac:dyDescent="0.25">
      <c r="M468">
        <f>Table1[[#This Row],[Aboard]]-Table1[[#This Row],[Fatalities (air)]]</f>
        <v>0</v>
      </c>
    </row>
    <row r="469" spans="13:13" x14ac:dyDescent="0.25">
      <c r="M469">
        <f>Table1[[#This Row],[Aboard]]-Table1[[#This Row],[Fatalities (air)]]</f>
        <v>0</v>
      </c>
    </row>
    <row r="470" spans="13:13" x14ac:dyDescent="0.25">
      <c r="M470">
        <f>Table1[[#This Row],[Aboard]]-Table1[[#This Row],[Fatalities (air)]]</f>
        <v>0</v>
      </c>
    </row>
    <row r="471" spans="13:13" x14ac:dyDescent="0.25">
      <c r="M471">
        <f>Table1[[#This Row],[Aboard]]-Table1[[#This Row],[Fatalities (air)]]</f>
        <v>0</v>
      </c>
    </row>
    <row r="472" spans="13:13" x14ac:dyDescent="0.25">
      <c r="M472">
        <f>Table1[[#This Row],[Aboard]]-Table1[[#This Row],[Fatalities (air)]]</f>
        <v>0</v>
      </c>
    </row>
    <row r="473" spans="13:13" x14ac:dyDescent="0.25">
      <c r="M473">
        <f>Table1[[#This Row],[Aboard]]-Table1[[#This Row],[Fatalities (air)]]</f>
        <v>0</v>
      </c>
    </row>
    <row r="474" spans="13:13" x14ac:dyDescent="0.25">
      <c r="M474">
        <f>Table1[[#This Row],[Aboard]]-Table1[[#This Row],[Fatalities (air)]]</f>
        <v>0</v>
      </c>
    </row>
    <row r="475" spans="13:13" x14ac:dyDescent="0.25">
      <c r="M475">
        <f>Table1[[#This Row],[Aboard]]-Table1[[#This Row],[Fatalities (air)]]</f>
        <v>0</v>
      </c>
    </row>
    <row r="476" spans="13:13" x14ac:dyDescent="0.25">
      <c r="M476">
        <f>Table1[[#This Row],[Aboard]]-Table1[[#This Row],[Fatalities (air)]]</f>
        <v>0</v>
      </c>
    </row>
    <row r="477" spans="13:13" x14ac:dyDescent="0.25">
      <c r="M477">
        <f>Table1[[#This Row],[Aboard]]-Table1[[#This Row],[Fatalities (air)]]</f>
        <v>0</v>
      </c>
    </row>
    <row r="478" spans="13:13" x14ac:dyDescent="0.25">
      <c r="M478">
        <f>Table1[[#This Row],[Aboard]]-Table1[[#This Row],[Fatalities (air)]]</f>
        <v>0</v>
      </c>
    </row>
    <row r="479" spans="13:13" x14ac:dyDescent="0.25">
      <c r="M479">
        <f>Table1[[#This Row],[Aboard]]-Table1[[#This Row],[Fatalities (air)]]</f>
        <v>0</v>
      </c>
    </row>
    <row r="480" spans="13:13" x14ac:dyDescent="0.25">
      <c r="M480">
        <f>Table1[[#This Row],[Aboard]]-Table1[[#This Row],[Fatalities (air)]]</f>
        <v>0</v>
      </c>
    </row>
    <row r="481" spans="13:13" x14ac:dyDescent="0.25">
      <c r="M481">
        <f>Table1[[#This Row],[Aboard]]-Table1[[#This Row],[Fatalities (air)]]</f>
        <v>0</v>
      </c>
    </row>
    <row r="482" spans="13:13" x14ac:dyDescent="0.25">
      <c r="M482">
        <f>Table1[[#This Row],[Aboard]]-Table1[[#This Row],[Fatalities (air)]]</f>
        <v>0</v>
      </c>
    </row>
    <row r="483" spans="13:13" x14ac:dyDescent="0.25">
      <c r="M483">
        <f>Table1[[#This Row],[Aboard]]-Table1[[#This Row],[Fatalities (air)]]</f>
        <v>0</v>
      </c>
    </row>
    <row r="484" spans="13:13" x14ac:dyDescent="0.25">
      <c r="M484">
        <f>Table1[[#This Row],[Aboard]]-Table1[[#This Row],[Fatalities (air)]]</f>
        <v>0</v>
      </c>
    </row>
    <row r="485" spans="13:13" x14ac:dyDescent="0.25">
      <c r="M485">
        <f>Table1[[#This Row],[Aboard]]-Table1[[#This Row],[Fatalities (air)]]</f>
        <v>0</v>
      </c>
    </row>
    <row r="486" spans="13:13" x14ac:dyDescent="0.25">
      <c r="M486">
        <f>Table1[[#This Row],[Aboard]]-Table1[[#This Row],[Fatalities (air)]]</f>
        <v>0</v>
      </c>
    </row>
    <row r="487" spans="13:13" x14ac:dyDescent="0.25">
      <c r="M487">
        <f>Table1[[#This Row],[Aboard]]-Table1[[#This Row],[Fatalities (air)]]</f>
        <v>0</v>
      </c>
    </row>
    <row r="488" spans="13:13" x14ac:dyDescent="0.25">
      <c r="M488">
        <f>Table1[[#This Row],[Aboard]]-Table1[[#This Row],[Fatalities (air)]]</f>
        <v>0</v>
      </c>
    </row>
    <row r="489" spans="13:13" x14ac:dyDescent="0.25">
      <c r="M489">
        <f>Table1[[#This Row],[Aboard]]-Table1[[#This Row],[Fatalities (air)]]</f>
        <v>0</v>
      </c>
    </row>
    <row r="490" spans="13:13" x14ac:dyDescent="0.25">
      <c r="M490">
        <f>Table1[[#This Row],[Aboard]]-Table1[[#This Row],[Fatalities (air)]]</f>
        <v>0</v>
      </c>
    </row>
    <row r="491" spans="13:13" x14ac:dyDescent="0.25">
      <c r="M491">
        <f>Table1[[#This Row],[Aboard]]-Table1[[#This Row],[Fatalities (air)]]</f>
        <v>0</v>
      </c>
    </row>
    <row r="492" spans="13:13" x14ac:dyDescent="0.25">
      <c r="M492">
        <f>Table1[[#This Row],[Aboard]]-Table1[[#This Row],[Fatalities (air)]]</f>
        <v>0</v>
      </c>
    </row>
    <row r="493" spans="13:13" x14ac:dyDescent="0.25">
      <c r="M493">
        <f>Table1[[#This Row],[Aboard]]-Table1[[#This Row],[Fatalities (air)]]</f>
        <v>0</v>
      </c>
    </row>
    <row r="494" spans="13:13" x14ac:dyDescent="0.25">
      <c r="M494">
        <f>Table1[[#This Row],[Aboard]]-Table1[[#This Row],[Fatalities (air)]]</f>
        <v>0</v>
      </c>
    </row>
    <row r="495" spans="13:13" x14ac:dyDescent="0.25">
      <c r="M495">
        <f>Table1[[#This Row],[Aboard]]-Table1[[#This Row],[Fatalities (air)]]</f>
        <v>0</v>
      </c>
    </row>
    <row r="496" spans="13:13" x14ac:dyDescent="0.25">
      <c r="M496">
        <f>Table1[[#This Row],[Aboard]]-Table1[[#This Row],[Fatalities (air)]]</f>
        <v>0</v>
      </c>
    </row>
    <row r="497" spans="13:13" x14ac:dyDescent="0.25">
      <c r="M497">
        <f>Table1[[#This Row],[Aboard]]-Table1[[#This Row],[Fatalities (air)]]</f>
        <v>0</v>
      </c>
    </row>
    <row r="498" spans="13:13" x14ac:dyDescent="0.25">
      <c r="M498">
        <f>Table1[[#This Row],[Aboard]]-Table1[[#This Row],[Fatalities (air)]]</f>
        <v>0</v>
      </c>
    </row>
    <row r="499" spans="13:13" x14ac:dyDescent="0.25">
      <c r="M499">
        <f>Table1[[#This Row],[Aboard]]-Table1[[#This Row],[Fatalities (air)]]</f>
        <v>0</v>
      </c>
    </row>
    <row r="500" spans="13:13" x14ac:dyDescent="0.25">
      <c r="M500">
        <f>Table1[[#This Row],[Aboard]]-Table1[[#This Row],[Fatalities (air)]]</f>
        <v>0</v>
      </c>
    </row>
    <row r="501" spans="13:13" x14ac:dyDescent="0.25">
      <c r="M501">
        <f>Table1[[#This Row],[Aboard]]-Table1[[#This Row],[Fatalities (air)]]</f>
        <v>0</v>
      </c>
    </row>
    <row r="502" spans="13:13" x14ac:dyDescent="0.25">
      <c r="M502">
        <f>Table1[[#This Row],[Aboard]]-Table1[[#This Row],[Fatalities (air)]]</f>
        <v>0</v>
      </c>
    </row>
    <row r="503" spans="13:13" x14ac:dyDescent="0.25">
      <c r="M503">
        <f>Table1[[#This Row],[Aboard]]-Table1[[#This Row],[Fatalities (air)]]</f>
        <v>0</v>
      </c>
    </row>
    <row r="504" spans="13:13" x14ac:dyDescent="0.25">
      <c r="M504">
        <f>Table1[[#This Row],[Aboard]]-Table1[[#This Row],[Fatalities (air)]]</f>
        <v>0</v>
      </c>
    </row>
    <row r="505" spans="13:13" x14ac:dyDescent="0.25">
      <c r="M505">
        <f>Table1[[#This Row],[Aboard]]-Table1[[#This Row],[Fatalities (air)]]</f>
        <v>0</v>
      </c>
    </row>
    <row r="506" spans="13:13" x14ac:dyDescent="0.25">
      <c r="M506">
        <f>Table1[[#This Row],[Aboard]]-Table1[[#This Row],[Fatalities (air)]]</f>
        <v>0</v>
      </c>
    </row>
    <row r="507" spans="13:13" x14ac:dyDescent="0.25">
      <c r="M507">
        <f>Table1[[#This Row],[Aboard]]-Table1[[#This Row],[Fatalities (air)]]</f>
        <v>0</v>
      </c>
    </row>
    <row r="508" spans="13:13" x14ac:dyDescent="0.25">
      <c r="M508">
        <f>Table1[[#This Row],[Aboard]]-Table1[[#This Row],[Fatalities (air)]]</f>
        <v>0</v>
      </c>
    </row>
    <row r="509" spans="13:13" x14ac:dyDescent="0.25">
      <c r="M509">
        <f>Table1[[#This Row],[Aboard]]-Table1[[#This Row],[Fatalities (air)]]</f>
        <v>0</v>
      </c>
    </row>
    <row r="510" spans="13:13" x14ac:dyDescent="0.25">
      <c r="M510">
        <f>Table1[[#This Row],[Aboard]]-Table1[[#This Row],[Fatalities (air)]]</f>
        <v>0</v>
      </c>
    </row>
    <row r="511" spans="13:13" x14ac:dyDescent="0.25">
      <c r="M511">
        <f>Table1[[#This Row],[Aboard]]-Table1[[#This Row],[Fatalities (air)]]</f>
        <v>0</v>
      </c>
    </row>
    <row r="512" spans="13:13" x14ac:dyDescent="0.25">
      <c r="M512">
        <f>Table1[[#This Row],[Aboard]]-Table1[[#This Row],[Fatalities (air)]]</f>
        <v>0</v>
      </c>
    </row>
    <row r="513" spans="13:13" x14ac:dyDescent="0.25">
      <c r="M513">
        <f>Table1[[#This Row],[Aboard]]-Table1[[#This Row],[Fatalities (air)]]</f>
        <v>0</v>
      </c>
    </row>
    <row r="514" spans="13:13" x14ac:dyDescent="0.25">
      <c r="M514">
        <f>Table1[[#This Row],[Aboard]]-Table1[[#This Row],[Fatalities (air)]]</f>
        <v>0</v>
      </c>
    </row>
    <row r="515" spans="13:13" x14ac:dyDescent="0.25">
      <c r="M515">
        <f>Table1[[#This Row],[Aboard]]-Table1[[#This Row],[Fatalities (air)]]</f>
        <v>0</v>
      </c>
    </row>
    <row r="516" spans="13:13" x14ac:dyDescent="0.25">
      <c r="M516">
        <f>Table1[[#This Row],[Aboard]]-Table1[[#This Row],[Fatalities (air)]]</f>
        <v>0</v>
      </c>
    </row>
    <row r="517" spans="13:13" x14ac:dyDescent="0.25">
      <c r="M517">
        <f>Table1[[#This Row],[Aboard]]-Table1[[#This Row],[Fatalities (air)]]</f>
        <v>0</v>
      </c>
    </row>
    <row r="518" spans="13:13" x14ac:dyDescent="0.25">
      <c r="M518">
        <f>Table1[[#This Row],[Aboard]]-Table1[[#This Row],[Fatalities (air)]]</f>
        <v>0</v>
      </c>
    </row>
    <row r="519" spans="13:13" x14ac:dyDescent="0.25">
      <c r="M519">
        <f>Table1[[#This Row],[Aboard]]-Table1[[#This Row],[Fatalities (air)]]</f>
        <v>0</v>
      </c>
    </row>
    <row r="520" spans="13:13" x14ac:dyDescent="0.25">
      <c r="M520">
        <f>Table1[[#This Row],[Aboard]]-Table1[[#This Row],[Fatalities (air)]]</f>
        <v>0</v>
      </c>
    </row>
    <row r="521" spans="13:13" x14ac:dyDescent="0.25">
      <c r="M521">
        <f>Table1[[#This Row],[Aboard]]-Table1[[#This Row],[Fatalities (air)]]</f>
        <v>0</v>
      </c>
    </row>
    <row r="522" spans="13:13" x14ac:dyDescent="0.25">
      <c r="M522">
        <f>Table1[[#This Row],[Aboard]]-Table1[[#This Row],[Fatalities (air)]]</f>
        <v>0</v>
      </c>
    </row>
    <row r="523" spans="13:13" x14ac:dyDescent="0.25">
      <c r="M523">
        <f>Table1[[#This Row],[Aboard]]-Table1[[#This Row],[Fatalities (air)]]</f>
        <v>0</v>
      </c>
    </row>
    <row r="524" spans="13:13" x14ac:dyDescent="0.25">
      <c r="M524">
        <f>Table1[[#This Row],[Aboard]]-Table1[[#This Row],[Fatalities (air)]]</f>
        <v>0</v>
      </c>
    </row>
    <row r="525" spans="13:13" x14ac:dyDescent="0.25">
      <c r="M525">
        <f>Table1[[#This Row],[Aboard]]-Table1[[#This Row],[Fatalities (air)]]</f>
        <v>0</v>
      </c>
    </row>
    <row r="526" spans="13:13" x14ac:dyDescent="0.25">
      <c r="M526">
        <f>Table1[[#This Row],[Aboard]]-Table1[[#This Row],[Fatalities (air)]]</f>
        <v>0</v>
      </c>
    </row>
    <row r="527" spans="13:13" x14ac:dyDescent="0.25">
      <c r="M527">
        <f>Table1[[#This Row],[Aboard]]-Table1[[#This Row],[Fatalities (air)]]</f>
        <v>0</v>
      </c>
    </row>
    <row r="528" spans="13:13" x14ac:dyDescent="0.25">
      <c r="M528">
        <f>Table1[[#This Row],[Aboard]]-Table1[[#This Row],[Fatalities (air)]]</f>
        <v>0</v>
      </c>
    </row>
    <row r="529" spans="13:13" x14ac:dyDescent="0.25">
      <c r="M529">
        <f>Table1[[#This Row],[Aboard]]-Table1[[#This Row],[Fatalities (air)]]</f>
        <v>0</v>
      </c>
    </row>
    <row r="530" spans="13:13" x14ac:dyDescent="0.25">
      <c r="M530">
        <f>Table1[[#This Row],[Aboard]]-Table1[[#This Row],[Fatalities (air)]]</f>
        <v>0</v>
      </c>
    </row>
    <row r="531" spans="13:13" x14ac:dyDescent="0.25">
      <c r="M531">
        <f>Table1[[#This Row],[Aboard]]-Table1[[#This Row],[Fatalities (air)]]</f>
        <v>0</v>
      </c>
    </row>
    <row r="532" spans="13:13" x14ac:dyDescent="0.25">
      <c r="M532">
        <f>Table1[[#This Row],[Aboard]]-Table1[[#This Row],[Fatalities (air)]]</f>
        <v>0</v>
      </c>
    </row>
    <row r="533" spans="13:13" x14ac:dyDescent="0.25">
      <c r="M533">
        <f>Table1[[#This Row],[Aboard]]-Table1[[#This Row],[Fatalities (air)]]</f>
        <v>0</v>
      </c>
    </row>
    <row r="534" spans="13:13" x14ac:dyDescent="0.25">
      <c r="M534">
        <f>Table1[[#This Row],[Aboard]]-Table1[[#This Row],[Fatalities (air)]]</f>
        <v>0</v>
      </c>
    </row>
    <row r="535" spans="13:13" x14ac:dyDescent="0.25">
      <c r="M535">
        <f>Table1[[#This Row],[Aboard]]-Table1[[#This Row],[Fatalities (air)]]</f>
        <v>0</v>
      </c>
    </row>
    <row r="536" spans="13:13" x14ac:dyDescent="0.25">
      <c r="M536">
        <f>Table1[[#This Row],[Aboard]]-Table1[[#This Row],[Fatalities (air)]]</f>
        <v>0</v>
      </c>
    </row>
    <row r="537" spans="13:13" x14ac:dyDescent="0.25">
      <c r="M537">
        <f>Table1[[#This Row],[Aboard]]-Table1[[#This Row],[Fatalities (air)]]</f>
        <v>0</v>
      </c>
    </row>
    <row r="538" spans="13:13" x14ac:dyDescent="0.25">
      <c r="M538">
        <f>Table1[[#This Row],[Aboard]]-Table1[[#This Row],[Fatalities (air)]]</f>
        <v>0</v>
      </c>
    </row>
    <row r="539" spans="13:13" x14ac:dyDescent="0.25">
      <c r="M539">
        <f>Table1[[#This Row],[Aboard]]-Table1[[#This Row],[Fatalities (air)]]</f>
        <v>0</v>
      </c>
    </row>
    <row r="540" spans="13:13" x14ac:dyDescent="0.25">
      <c r="M540">
        <f>Table1[[#This Row],[Aboard]]-Table1[[#This Row],[Fatalities (air)]]</f>
        <v>0</v>
      </c>
    </row>
    <row r="541" spans="13:13" x14ac:dyDescent="0.25">
      <c r="M541">
        <f>Table1[[#This Row],[Aboard]]-Table1[[#This Row],[Fatalities (air)]]</f>
        <v>0</v>
      </c>
    </row>
    <row r="542" spans="13:13" x14ac:dyDescent="0.25">
      <c r="M542">
        <f>Table1[[#This Row],[Aboard]]-Table1[[#This Row],[Fatalities (air)]]</f>
        <v>0</v>
      </c>
    </row>
    <row r="543" spans="13:13" x14ac:dyDescent="0.25">
      <c r="M543">
        <f>Table1[[#This Row],[Aboard]]-Table1[[#This Row],[Fatalities (air)]]</f>
        <v>0</v>
      </c>
    </row>
    <row r="544" spans="13:13" x14ac:dyDescent="0.25">
      <c r="M544">
        <f>Table1[[#This Row],[Aboard]]-Table1[[#This Row],[Fatalities (air)]]</f>
        <v>0</v>
      </c>
    </row>
    <row r="545" spans="13:13" x14ac:dyDescent="0.25">
      <c r="M545">
        <f>Table1[[#This Row],[Aboard]]-Table1[[#This Row],[Fatalities (air)]]</f>
        <v>0</v>
      </c>
    </row>
    <row r="546" spans="13:13" x14ac:dyDescent="0.25">
      <c r="M546">
        <f>Table1[[#This Row],[Aboard]]-Table1[[#This Row],[Fatalities (air)]]</f>
        <v>0</v>
      </c>
    </row>
    <row r="547" spans="13:13" x14ac:dyDescent="0.25">
      <c r="M547">
        <f>Table1[[#This Row],[Aboard]]-Table1[[#This Row],[Fatalities (air)]]</f>
        <v>0</v>
      </c>
    </row>
    <row r="548" spans="13:13" x14ac:dyDescent="0.25">
      <c r="M548">
        <f>Table1[[#This Row],[Aboard]]-Table1[[#This Row],[Fatalities (air)]]</f>
        <v>0</v>
      </c>
    </row>
    <row r="549" spans="13:13" x14ac:dyDescent="0.25">
      <c r="M549">
        <f>Table1[[#This Row],[Aboard]]-Table1[[#This Row],[Fatalities (air)]]</f>
        <v>0</v>
      </c>
    </row>
    <row r="550" spans="13:13" x14ac:dyDescent="0.25">
      <c r="M550">
        <f>Table1[[#This Row],[Aboard]]-Table1[[#This Row],[Fatalities (air)]]</f>
        <v>0</v>
      </c>
    </row>
    <row r="551" spans="13:13" x14ac:dyDescent="0.25">
      <c r="M551">
        <f>Table1[[#This Row],[Aboard]]-Table1[[#This Row],[Fatalities (air)]]</f>
        <v>0</v>
      </c>
    </row>
    <row r="552" spans="13:13" x14ac:dyDescent="0.25">
      <c r="M552">
        <f>Table1[[#This Row],[Aboard]]-Table1[[#This Row],[Fatalities (air)]]</f>
        <v>0</v>
      </c>
    </row>
    <row r="553" spans="13:13" x14ac:dyDescent="0.25">
      <c r="M553">
        <f>Table1[[#This Row],[Aboard]]-Table1[[#This Row],[Fatalities (air)]]</f>
        <v>0</v>
      </c>
    </row>
    <row r="554" spans="13:13" x14ac:dyDescent="0.25">
      <c r="M554">
        <f>Table1[[#This Row],[Aboard]]-Table1[[#This Row],[Fatalities (air)]]</f>
        <v>0</v>
      </c>
    </row>
    <row r="555" spans="13:13" x14ac:dyDescent="0.25">
      <c r="M555">
        <f>Table1[[#This Row],[Aboard]]-Table1[[#This Row],[Fatalities (air)]]</f>
        <v>0</v>
      </c>
    </row>
    <row r="556" spans="13:13" x14ac:dyDescent="0.25">
      <c r="M556">
        <f>Table1[[#This Row],[Aboard]]-Table1[[#This Row],[Fatalities (air)]]</f>
        <v>0</v>
      </c>
    </row>
    <row r="557" spans="13:13" x14ac:dyDescent="0.25">
      <c r="M557">
        <f>Table1[[#This Row],[Aboard]]-Table1[[#This Row],[Fatalities (air)]]</f>
        <v>0</v>
      </c>
    </row>
    <row r="558" spans="13:13" x14ac:dyDescent="0.25">
      <c r="M558">
        <f>Table1[[#This Row],[Aboard]]-Table1[[#This Row],[Fatalities (air)]]</f>
        <v>0</v>
      </c>
    </row>
    <row r="559" spans="13:13" x14ac:dyDescent="0.25">
      <c r="M559">
        <f>Table1[[#This Row],[Aboard]]-Table1[[#This Row],[Fatalities (air)]]</f>
        <v>0</v>
      </c>
    </row>
    <row r="560" spans="13:13" x14ac:dyDescent="0.25">
      <c r="M560">
        <f>Table1[[#This Row],[Aboard]]-Table1[[#This Row],[Fatalities (air)]]</f>
        <v>0</v>
      </c>
    </row>
    <row r="561" spans="13:13" x14ac:dyDescent="0.25">
      <c r="M561">
        <f>Table1[[#This Row],[Aboard]]-Table1[[#This Row],[Fatalities (air)]]</f>
        <v>0</v>
      </c>
    </row>
    <row r="562" spans="13:13" x14ac:dyDescent="0.25">
      <c r="M562">
        <f>Table1[[#This Row],[Aboard]]-Table1[[#This Row],[Fatalities (air)]]</f>
        <v>0</v>
      </c>
    </row>
    <row r="563" spans="13:13" x14ac:dyDescent="0.25">
      <c r="M563">
        <f>Table1[[#This Row],[Aboard]]-Table1[[#This Row],[Fatalities (air)]]</f>
        <v>0</v>
      </c>
    </row>
    <row r="564" spans="13:13" x14ac:dyDescent="0.25">
      <c r="M564">
        <f>Table1[[#This Row],[Aboard]]-Table1[[#This Row],[Fatalities (air)]]</f>
        <v>0</v>
      </c>
    </row>
    <row r="565" spans="13:13" x14ac:dyDescent="0.25">
      <c r="M565">
        <f>Table1[[#This Row],[Aboard]]-Table1[[#This Row],[Fatalities (air)]]</f>
        <v>0</v>
      </c>
    </row>
    <row r="566" spans="13:13" x14ac:dyDescent="0.25">
      <c r="M566">
        <f>Table1[[#This Row],[Aboard]]-Table1[[#This Row],[Fatalities (air)]]</f>
        <v>0</v>
      </c>
    </row>
    <row r="567" spans="13:13" x14ac:dyDescent="0.25">
      <c r="M567">
        <f>Table1[[#This Row],[Aboard]]-Table1[[#This Row],[Fatalities (air)]]</f>
        <v>0</v>
      </c>
    </row>
    <row r="568" spans="13:13" x14ac:dyDescent="0.25">
      <c r="M568">
        <f>Table1[[#This Row],[Aboard]]-Table1[[#This Row],[Fatalities (air)]]</f>
        <v>0</v>
      </c>
    </row>
    <row r="569" spans="13:13" x14ac:dyDescent="0.25">
      <c r="M569">
        <f>Table1[[#This Row],[Aboard]]-Table1[[#This Row],[Fatalities (air)]]</f>
        <v>0</v>
      </c>
    </row>
    <row r="570" spans="13:13" x14ac:dyDescent="0.25">
      <c r="M570">
        <f>Table1[[#This Row],[Aboard]]-Table1[[#This Row],[Fatalities (air)]]</f>
        <v>0</v>
      </c>
    </row>
    <row r="571" spans="13:13" x14ac:dyDescent="0.25">
      <c r="M571">
        <f>Table1[[#This Row],[Aboard]]-Table1[[#This Row],[Fatalities (air)]]</f>
        <v>0</v>
      </c>
    </row>
    <row r="572" spans="13:13" x14ac:dyDescent="0.25">
      <c r="M572">
        <f>Table1[[#This Row],[Aboard]]-Table1[[#This Row],[Fatalities (air)]]</f>
        <v>0</v>
      </c>
    </row>
    <row r="573" spans="13:13" x14ac:dyDescent="0.25">
      <c r="M573">
        <f>Table1[[#This Row],[Aboard]]-Table1[[#This Row],[Fatalities (air)]]</f>
        <v>0</v>
      </c>
    </row>
    <row r="574" spans="13:13" x14ac:dyDescent="0.25">
      <c r="M574">
        <f>Table1[[#This Row],[Aboard]]-Table1[[#This Row],[Fatalities (air)]]</f>
        <v>0</v>
      </c>
    </row>
    <row r="575" spans="13:13" x14ac:dyDescent="0.25">
      <c r="M575">
        <f>Table1[[#This Row],[Aboard]]-Table1[[#This Row],[Fatalities (air)]]</f>
        <v>0</v>
      </c>
    </row>
    <row r="576" spans="13:13" x14ac:dyDescent="0.25">
      <c r="M576">
        <f>Table1[[#This Row],[Aboard]]-Table1[[#This Row],[Fatalities (air)]]</f>
        <v>0</v>
      </c>
    </row>
    <row r="577" spans="13:13" x14ac:dyDescent="0.25">
      <c r="M577">
        <f>Table1[[#This Row],[Aboard]]-Table1[[#This Row],[Fatalities (air)]]</f>
        <v>0</v>
      </c>
    </row>
    <row r="578" spans="13:13" x14ac:dyDescent="0.25">
      <c r="M578">
        <f>Table1[[#This Row],[Aboard]]-Table1[[#This Row],[Fatalities (air)]]</f>
        <v>0</v>
      </c>
    </row>
    <row r="579" spans="13:13" x14ac:dyDescent="0.25">
      <c r="M579">
        <f>Table1[[#This Row],[Aboard]]-Table1[[#This Row],[Fatalities (air)]]</f>
        <v>0</v>
      </c>
    </row>
    <row r="580" spans="13:13" x14ac:dyDescent="0.25">
      <c r="M580">
        <f>Table1[[#This Row],[Aboard]]-Table1[[#This Row],[Fatalities (air)]]</f>
        <v>0</v>
      </c>
    </row>
    <row r="581" spans="13:13" x14ac:dyDescent="0.25">
      <c r="M581">
        <f>Table1[[#This Row],[Aboard]]-Table1[[#This Row],[Fatalities (air)]]</f>
        <v>0</v>
      </c>
    </row>
    <row r="582" spans="13:13" x14ac:dyDescent="0.25">
      <c r="M582">
        <f>Table1[[#This Row],[Aboard]]-Table1[[#This Row],[Fatalities (air)]]</f>
        <v>0</v>
      </c>
    </row>
    <row r="583" spans="13:13" x14ac:dyDescent="0.25">
      <c r="M583">
        <f>Table1[[#This Row],[Aboard]]-Table1[[#This Row],[Fatalities (air)]]</f>
        <v>0</v>
      </c>
    </row>
    <row r="584" spans="13:13" x14ac:dyDescent="0.25">
      <c r="M584">
        <f>Table1[[#This Row],[Aboard]]-Table1[[#This Row],[Fatalities (air)]]</f>
        <v>0</v>
      </c>
    </row>
    <row r="585" spans="13:13" x14ac:dyDescent="0.25">
      <c r="M585">
        <f>Table1[[#This Row],[Aboard]]-Table1[[#This Row],[Fatalities (air)]]</f>
        <v>0</v>
      </c>
    </row>
    <row r="586" spans="13:13" x14ac:dyDescent="0.25">
      <c r="M586">
        <f>Table1[[#This Row],[Aboard]]-Table1[[#This Row],[Fatalities (air)]]</f>
        <v>0</v>
      </c>
    </row>
    <row r="587" spans="13:13" x14ac:dyDescent="0.25">
      <c r="M587">
        <f>Table1[[#This Row],[Aboard]]-Table1[[#This Row],[Fatalities (air)]]</f>
        <v>0</v>
      </c>
    </row>
    <row r="588" spans="13:13" x14ac:dyDescent="0.25">
      <c r="M588">
        <f>Table1[[#This Row],[Aboard]]-Table1[[#This Row],[Fatalities (air)]]</f>
        <v>0</v>
      </c>
    </row>
    <row r="589" spans="13:13" x14ac:dyDescent="0.25">
      <c r="M589">
        <f>Table1[[#This Row],[Aboard]]-Table1[[#This Row],[Fatalities (air)]]</f>
        <v>0</v>
      </c>
    </row>
    <row r="590" spans="13:13" x14ac:dyDescent="0.25">
      <c r="M590">
        <f>Table1[[#This Row],[Aboard]]-Table1[[#This Row],[Fatalities (air)]]</f>
        <v>0</v>
      </c>
    </row>
    <row r="591" spans="13:13" x14ac:dyDescent="0.25">
      <c r="M591">
        <f>Table1[[#This Row],[Aboard]]-Table1[[#This Row],[Fatalities (air)]]</f>
        <v>0</v>
      </c>
    </row>
    <row r="592" spans="13:13" x14ac:dyDescent="0.25">
      <c r="M592">
        <f>Table1[[#This Row],[Aboard]]-Table1[[#This Row],[Fatalities (air)]]</f>
        <v>0</v>
      </c>
    </row>
    <row r="593" spans="13:13" x14ac:dyDescent="0.25">
      <c r="M593">
        <f>Table1[[#This Row],[Aboard]]-Table1[[#This Row],[Fatalities (air)]]</f>
        <v>0</v>
      </c>
    </row>
    <row r="594" spans="13:13" x14ac:dyDescent="0.25">
      <c r="M594">
        <f>Table1[[#This Row],[Aboard]]-Table1[[#This Row],[Fatalities (air)]]</f>
        <v>0</v>
      </c>
    </row>
    <row r="595" spans="13:13" x14ac:dyDescent="0.25">
      <c r="M595">
        <f>Table1[[#This Row],[Aboard]]-Table1[[#This Row],[Fatalities (air)]]</f>
        <v>0</v>
      </c>
    </row>
    <row r="596" spans="13:13" x14ac:dyDescent="0.25">
      <c r="M596">
        <f>Table1[[#This Row],[Aboard]]-Table1[[#This Row],[Fatalities (air)]]</f>
        <v>0</v>
      </c>
    </row>
    <row r="597" spans="13:13" x14ac:dyDescent="0.25">
      <c r="M597">
        <f>Table1[[#This Row],[Aboard]]-Table1[[#This Row],[Fatalities (air)]]</f>
        <v>0</v>
      </c>
    </row>
    <row r="598" spans="13:13" x14ac:dyDescent="0.25">
      <c r="M598">
        <f>Table1[[#This Row],[Aboard]]-Table1[[#This Row],[Fatalities (air)]]</f>
        <v>0</v>
      </c>
    </row>
    <row r="599" spans="13:13" x14ac:dyDescent="0.25">
      <c r="M599">
        <f>Table1[[#This Row],[Aboard]]-Table1[[#This Row],[Fatalities (air)]]</f>
        <v>0</v>
      </c>
    </row>
    <row r="600" spans="13:13" x14ac:dyDescent="0.25">
      <c r="M600">
        <f>Table1[[#This Row],[Aboard]]-Table1[[#This Row],[Fatalities (air)]]</f>
        <v>0</v>
      </c>
    </row>
    <row r="601" spans="13:13" x14ac:dyDescent="0.25">
      <c r="M601">
        <f>Table1[[#This Row],[Aboard]]-Table1[[#This Row],[Fatalities (air)]]</f>
        <v>0</v>
      </c>
    </row>
    <row r="602" spans="13:13" x14ac:dyDescent="0.25">
      <c r="M602">
        <f>Table1[[#This Row],[Aboard]]-Table1[[#This Row],[Fatalities (air)]]</f>
        <v>0</v>
      </c>
    </row>
    <row r="603" spans="13:13" x14ac:dyDescent="0.25">
      <c r="M603">
        <f>Table1[[#This Row],[Aboard]]-Table1[[#This Row],[Fatalities (air)]]</f>
        <v>0</v>
      </c>
    </row>
    <row r="604" spans="13:13" x14ac:dyDescent="0.25">
      <c r="M604">
        <f>Table1[[#This Row],[Aboard]]-Table1[[#This Row],[Fatalities (air)]]</f>
        <v>0</v>
      </c>
    </row>
    <row r="605" spans="13:13" x14ac:dyDescent="0.25">
      <c r="M605">
        <f>Table1[[#This Row],[Aboard]]-Table1[[#This Row],[Fatalities (air)]]</f>
        <v>0</v>
      </c>
    </row>
    <row r="606" spans="13:13" x14ac:dyDescent="0.25">
      <c r="M606">
        <f>Table1[[#This Row],[Aboard]]-Table1[[#This Row],[Fatalities (air)]]</f>
        <v>0</v>
      </c>
    </row>
    <row r="607" spans="13:13" x14ac:dyDescent="0.25">
      <c r="M607">
        <f>Table1[[#This Row],[Aboard]]-Table1[[#This Row],[Fatalities (air)]]</f>
        <v>0</v>
      </c>
    </row>
    <row r="608" spans="13:13" x14ac:dyDescent="0.25">
      <c r="M608">
        <f>Table1[[#This Row],[Aboard]]-Table1[[#This Row],[Fatalities (air)]]</f>
        <v>0</v>
      </c>
    </row>
    <row r="609" spans="13:13" x14ac:dyDescent="0.25">
      <c r="M609">
        <f>Table1[[#This Row],[Aboard]]-Table1[[#This Row],[Fatalities (air)]]</f>
        <v>0</v>
      </c>
    </row>
    <row r="610" spans="13:13" x14ac:dyDescent="0.25">
      <c r="M610">
        <f>Table1[[#This Row],[Aboard]]-Table1[[#This Row],[Fatalities (air)]]</f>
        <v>0</v>
      </c>
    </row>
    <row r="611" spans="13:13" x14ac:dyDescent="0.25">
      <c r="M611">
        <f>Table1[[#This Row],[Aboard]]-Table1[[#This Row],[Fatalities (air)]]</f>
        <v>0</v>
      </c>
    </row>
    <row r="612" spans="13:13" x14ac:dyDescent="0.25">
      <c r="M612">
        <f>Table1[[#This Row],[Aboard]]-Table1[[#This Row],[Fatalities (air)]]</f>
        <v>0</v>
      </c>
    </row>
    <row r="613" spans="13:13" x14ac:dyDescent="0.25">
      <c r="M613">
        <f>Table1[[#This Row],[Aboard]]-Table1[[#This Row],[Fatalities (air)]]</f>
        <v>0</v>
      </c>
    </row>
    <row r="614" spans="13:13" x14ac:dyDescent="0.25">
      <c r="M614">
        <f>Table1[[#This Row],[Aboard]]-Table1[[#This Row],[Fatalities (air)]]</f>
        <v>0</v>
      </c>
    </row>
    <row r="615" spans="13:13" x14ac:dyDescent="0.25">
      <c r="M615">
        <f>Table1[[#This Row],[Aboard]]-Table1[[#This Row],[Fatalities (air)]]</f>
        <v>0</v>
      </c>
    </row>
    <row r="616" spans="13:13" x14ac:dyDescent="0.25">
      <c r="M616">
        <f>Table1[[#This Row],[Aboard]]-Table1[[#This Row],[Fatalities (air)]]</f>
        <v>0</v>
      </c>
    </row>
    <row r="617" spans="13:13" x14ac:dyDescent="0.25">
      <c r="M617">
        <f>Table1[[#This Row],[Aboard]]-Table1[[#This Row],[Fatalities (air)]]</f>
        <v>0</v>
      </c>
    </row>
    <row r="618" spans="13:13" x14ac:dyDescent="0.25">
      <c r="M618">
        <f>Table1[[#This Row],[Aboard]]-Table1[[#This Row],[Fatalities (air)]]</f>
        <v>0</v>
      </c>
    </row>
    <row r="619" spans="13:13" x14ac:dyDescent="0.25">
      <c r="M619">
        <f>Table1[[#This Row],[Aboard]]-Table1[[#This Row],[Fatalities (air)]]</f>
        <v>0</v>
      </c>
    </row>
    <row r="620" spans="13:13" x14ac:dyDescent="0.25">
      <c r="M620">
        <f>Table1[[#This Row],[Aboard]]-Table1[[#This Row],[Fatalities (air)]]</f>
        <v>0</v>
      </c>
    </row>
    <row r="621" spans="13:13" x14ac:dyDescent="0.25">
      <c r="M621">
        <f>Table1[[#This Row],[Aboard]]-Table1[[#This Row],[Fatalities (air)]]</f>
        <v>0</v>
      </c>
    </row>
    <row r="622" spans="13:13" x14ac:dyDescent="0.25">
      <c r="M622">
        <f>Table1[[#This Row],[Aboard]]-Table1[[#This Row],[Fatalities (air)]]</f>
        <v>0</v>
      </c>
    </row>
    <row r="623" spans="13:13" x14ac:dyDescent="0.25">
      <c r="M623">
        <f>Table1[[#This Row],[Aboard]]-Table1[[#This Row],[Fatalities (air)]]</f>
        <v>0</v>
      </c>
    </row>
    <row r="624" spans="13:13" x14ac:dyDescent="0.25">
      <c r="M624">
        <f>Table1[[#This Row],[Aboard]]-Table1[[#This Row],[Fatalities (air)]]</f>
        <v>0</v>
      </c>
    </row>
    <row r="625" spans="13:13" x14ac:dyDescent="0.25">
      <c r="M625">
        <f>Table1[[#This Row],[Aboard]]-Table1[[#This Row],[Fatalities (air)]]</f>
        <v>0</v>
      </c>
    </row>
    <row r="626" spans="13:13" x14ac:dyDescent="0.25">
      <c r="M626">
        <f>Table1[[#This Row],[Aboard]]-Table1[[#This Row],[Fatalities (air)]]</f>
        <v>0</v>
      </c>
    </row>
    <row r="627" spans="13:13" x14ac:dyDescent="0.25">
      <c r="M627">
        <f>Table1[[#This Row],[Aboard]]-Table1[[#This Row],[Fatalities (air)]]</f>
        <v>0</v>
      </c>
    </row>
    <row r="628" spans="13:13" x14ac:dyDescent="0.25">
      <c r="M628">
        <f>Table1[[#This Row],[Aboard]]-Table1[[#This Row],[Fatalities (air)]]</f>
        <v>0</v>
      </c>
    </row>
    <row r="629" spans="13:13" x14ac:dyDescent="0.25">
      <c r="M629">
        <f>Table1[[#This Row],[Aboard]]-Table1[[#This Row],[Fatalities (air)]]</f>
        <v>0</v>
      </c>
    </row>
    <row r="630" spans="13:13" x14ac:dyDescent="0.25">
      <c r="M630">
        <f>Table1[[#This Row],[Aboard]]-Table1[[#This Row],[Fatalities (air)]]</f>
        <v>0</v>
      </c>
    </row>
    <row r="631" spans="13:13" x14ac:dyDescent="0.25">
      <c r="M631">
        <f>Table1[[#This Row],[Aboard]]-Table1[[#This Row],[Fatalities (air)]]</f>
        <v>0</v>
      </c>
    </row>
    <row r="632" spans="13:13" x14ac:dyDescent="0.25">
      <c r="M632">
        <f>Table1[[#This Row],[Aboard]]-Table1[[#This Row],[Fatalities (air)]]</f>
        <v>0</v>
      </c>
    </row>
    <row r="633" spans="13:13" x14ac:dyDescent="0.25">
      <c r="M633">
        <f>Table1[[#This Row],[Aboard]]-Table1[[#This Row],[Fatalities (air)]]</f>
        <v>0</v>
      </c>
    </row>
    <row r="634" spans="13:13" x14ac:dyDescent="0.25">
      <c r="M634">
        <f>Table1[[#This Row],[Aboard]]-Table1[[#This Row],[Fatalities (air)]]</f>
        <v>0</v>
      </c>
    </row>
    <row r="635" spans="13:13" x14ac:dyDescent="0.25">
      <c r="M635">
        <f>Table1[[#This Row],[Aboard]]-Table1[[#This Row],[Fatalities (air)]]</f>
        <v>0</v>
      </c>
    </row>
    <row r="636" spans="13:13" x14ac:dyDescent="0.25">
      <c r="M636">
        <f>Table1[[#This Row],[Aboard]]-Table1[[#This Row],[Fatalities (air)]]</f>
        <v>0</v>
      </c>
    </row>
    <row r="637" spans="13:13" x14ac:dyDescent="0.25">
      <c r="M637">
        <f>Table1[[#This Row],[Aboard]]-Table1[[#This Row],[Fatalities (air)]]</f>
        <v>0</v>
      </c>
    </row>
    <row r="638" spans="13:13" x14ac:dyDescent="0.25">
      <c r="M638">
        <f>Table1[[#This Row],[Aboard]]-Table1[[#This Row],[Fatalities (air)]]</f>
        <v>0</v>
      </c>
    </row>
    <row r="639" spans="13:13" x14ac:dyDescent="0.25">
      <c r="M639">
        <f>Table1[[#This Row],[Aboard]]-Table1[[#This Row],[Fatalities (air)]]</f>
        <v>0</v>
      </c>
    </row>
    <row r="640" spans="13:13" x14ac:dyDescent="0.25">
      <c r="M640">
        <f>Table1[[#This Row],[Aboard]]-Table1[[#This Row],[Fatalities (air)]]</f>
        <v>0</v>
      </c>
    </row>
    <row r="641" spans="13:13" x14ac:dyDescent="0.25">
      <c r="M641">
        <f>Table1[[#This Row],[Aboard]]-Table1[[#This Row],[Fatalities (air)]]</f>
        <v>0</v>
      </c>
    </row>
    <row r="642" spans="13:13" x14ac:dyDescent="0.25">
      <c r="M642">
        <f>Table1[[#This Row],[Aboard]]-Table1[[#This Row],[Fatalities (air)]]</f>
        <v>0</v>
      </c>
    </row>
    <row r="643" spans="13:13" x14ac:dyDescent="0.25">
      <c r="M643">
        <f>Table1[[#This Row],[Aboard]]-Table1[[#This Row],[Fatalities (air)]]</f>
        <v>0</v>
      </c>
    </row>
    <row r="644" spans="13:13" x14ac:dyDescent="0.25">
      <c r="M644">
        <f>Table1[[#This Row],[Aboard]]-Table1[[#This Row],[Fatalities (air)]]</f>
        <v>0</v>
      </c>
    </row>
    <row r="645" spans="13:13" x14ac:dyDescent="0.25">
      <c r="M645">
        <f>Table1[[#This Row],[Aboard]]-Table1[[#This Row],[Fatalities (air)]]</f>
        <v>0</v>
      </c>
    </row>
    <row r="646" spans="13:13" x14ac:dyDescent="0.25">
      <c r="M646">
        <f>Table1[[#This Row],[Aboard]]-Table1[[#This Row],[Fatalities (air)]]</f>
        <v>0</v>
      </c>
    </row>
    <row r="647" spans="13:13" x14ac:dyDescent="0.25">
      <c r="M647">
        <f>Table1[[#This Row],[Aboard]]-Table1[[#This Row],[Fatalities (air)]]</f>
        <v>0</v>
      </c>
    </row>
    <row r="648" spans="13:13" x14ac:dyDescent="0.25">
      <c r="M648">
        <f>Table1[[#This Row],[Aboard]]-Table1[[#This Row],[Fatalities (air)]]</f>
        <v>0</v>
      </c>
    </row>
    <row r="649" spans="13:13" x14ac:dyDescent="0.25">
      <c r="M649">
        <f>Table1[[#This Row],[Aboard]]-Table1[[#This Row],[Fatalities (air)]]</f>
        <v>0</v>
      </c>
    </row>
    <row r="650" spans="13:13" x14ac:dyDescent="0.25">
      <c r="M650">
        <f>Table1[[#This Row],[Aboard]]-Table1[[#This Row],[Fatalities (air)]]</f>
        <v>0</v>
      </c>
    </row>
    <row r="651" spans="13:13" x14ac:dyDescent="0.25">
      <c r="M651">
        <f>Table1[[#This Row],[Aboard]]-Table1[[#This Row],[Fatalities (air)]]</f>
        <v>0</v>
      </c>
    </row>
    <row r="652" spans="13:13" x14ac:dyDescent="0.25">
      <c r="M652">
        <f>Table1[[#This Row],[Aboard]]-Table1[[#This Row],[Fatalities (air)]]</f>
        <v>0</v>
      </c>
    </row>
    <row r="653" spans="13:13" x14ac:dyDescent="0.25">
      <c r="M653">
        <f>Table1[[#This Row],[Aboard]]-Table1[[#This Row],[Fatalities (air)]]</f>
        <v>0</v>
      </c>
    </row>
    <row r="654" spans="13:13" x14ac:dyDescent="0.25">
      <c r="M654">
        <f>Table1[[#This Row],[Aboard]]-Table1[[#This Row],[Fatalities (air)]]</f>
        <v>0</v>
      </c>
    </row>
    <row r="655" spans="13:13" x14ac:dyDescent="0.25">
      <c r="M655">
        <f>Table1[[#This Row],[Aboard]]-Table1[[#This Row],[Fatalities (air)]]</f>
        <v>0</v>
      </c>
    </row>
    <row r="656" spans="13:13" x14ac:dyDescent="0.25">
      <c r="M656">
        <f>Table1[[#This Row],[Aboard]]-Table1[[#This Row],[Fatalities (air)]]</f>
        <v>0</v>
      </c>
    </row>
    <row r="657" spans="13:13" x14ac:dyDescent="0.25">
      <c r="M657">
        <f>Table1[[#This Row],[Aboard]]-Table1[[#This Row],[Fatalities (air)]]</f>
        <v>0</v>
      </c>
    </row>
    <row r="658" spans="13:13" x14ac:dyDescent="0.25">
      <c r="M658">
        <f>Table1[[#This Row],[Aboard]]-Table1[[#This Row],[Fatalities (air)]]</f>
        <v>0</v>
      </c>
    </row>
    <row r="659" spans="13:13" x14ac:dyDescent="0.25">
      <c r="M659">
        <f>Table1[[#This Row],[Aboard]]-Table1[[#This Row],[Fatalities (air)]]</f>
        <v>0</v>
      </c>
    </row>
    <row r="660" spans="13:13" x14ac:dyDescent="0.25">
      <c r="M660">
        <f>Table1[[#This Row],[Aboard]]-Table1[[#This Row],[Fatalities (air)]]</f>
        <v>0</v>
      </c>
    </row>
    <row r="661" spans="13:13" x14ac:dyDescent="0.25">
      <c r="M661">
        <f>Table1[[#This Row],[Aboard]]-Table1[[#This Row],[Fatalities (air)]]</f>
        <v>0</v>
      </c>
    </row>
    <row r="662" spans="13:13" x14ac:dyDescent="0.25">
      <c r="M662">
        <f>Table1[[#This Row],[Aboard]]-Table1[[#This Row],[Fatalities (air)]]</f>
        <v>0</v>
      </c>
    </row>
    <row r="663" spans="13:13" x14ac:dyDescent="0.25">
      <c r="M663">
        <f>Table1[[#This Row],[Aboard]]-Table1[[#This Row],[Fatalities (air)]]</f>
        <v>0</v>
      </c>
    </row>
    <row r="664" spans="13:13" x14ac:dyDescent="0.25">
      <c r="M664">
        <f>Table1[[#This Row],[Aboard]]-Table1[[#This Row],[Fatalities (air)]]</f>
        <v>0</v>
      </c>
    </row>
    <row r="665" spans="13:13" x14ac:dyDescent="0.25">
      <c r="M665">
        <f>Table1[[#This Row],[Aboard]]-Table1[[#This Row],[Fatalities (air)]]</f>
        <v>0</v>
      </c>
    </row>
    <row r="666" spans="13:13" x14ac:dyDescent="0.25">
      <c r="M666">
        <f>Table1[[#This Row],[Aboard]]-Table1[[#This Row],[Fatalities (air)]]</f>
        <v>0</v>
      </c>
    </row>
    <row r="667" spans="13:13" x14ac:dyDescent="0.25">
      <c r="M667">
        <f>Table1[[#This Row],[Aboard]]-Table1[[#This Row],[Fatalities (air)]]</f>
        <v>0</v>
      </c>
    </row>
    <row r="668" spans="13:13" x14ac:dyDescent="0.25">
      <c r="M668">
        <f>Table1[[#This Row],[Aboard]]-Table1[[#This Row],[Fatalities (air)]]</f>
        <v>0</v>
      </c>
    </row>
    <row r="669" spans="13:13" x14ac:dyDescent="0.25">
      <c r="M669">
        <f>Table1[[#This Row],[Aboard]]-Table1[[#This Row],[Fatalities (air)]]</f>
        <v>0</v>
      </c>
    </row>
    <row r="670" spans="13:13" x14ac:dyDescent="0.25">
      <c r="M670">
        <f>Table1[[#This Row],[Aboard]]-Table1[[#This Row],[Fatalities (air)]]</f>
        <v>0</v>
      </c>
    </row>
    <row r="671" spans="13:13" x14ac:dyDescent="0.25">
      <c r="M671">
        <f>Table1[[#This Row],[Aboard]]-Table1[[#This Row],[Fatalities (air)]]</f>
        <v>0</v>
      </c>
    </row>
    <row r="672" spans="13:13" x14ac:dyDescent="0.25">
      <c r="M672">
        <f>Table1[[#This Row],[Aboard]]-Table1[[#This Row],[Fatalities (air)]]</f>
        <v>0</v>
      </c>
    </row>
    <row r="673" spans="13:13" x14ac:dyDescent="0.25">
      <c r="M673">
        <f>Table1[[#This Row],[Aboard]]-Table1[[#This Row],[Fatalities (air)]]</f>
        <v>0</v>
      </c>
    </row>
    <row r="674" spans="13:13" x14ac:dyDescent="0.25">
      <c r="M674">
        <f>Table1[[#This Row],[Aboard]]-Table1[[#This Row],[Fatalities (air)]]</f>
        <v>0</v>
      </c>
    </row>
    <row r="675" spans="13:13" x14ac:dyDescent="0.25">
      <c r="M675">
        <f>Table1[[#This Row],[Aboard]]-Table1[[#This Row],[Fatalities (air)]]</f>
        <v>0</v>
      </c>
    </row>
    <row r="676" spans="13:13" x14ac:dyDescent="0.25">
      <c r="M676">
        <f>Table1[[#This Row],[Aboard]]-Table1[[#This Row],[Fatalities (air)]]</f>
        <v>0</v>
      </c>
    </row>
    <row r="677" spans="13:13" x14ac:dyDescent="0.25">
      <c r="M677">
        <f>Table1[[#This Row],[Aboard]]-Table1[[#This Row],[Fatalities (air)]]</f>
        <v>0</v>
      </c>
    </row>
    <row r="678" spans="13:13" x14ac:dyDescent="0.25">
      <c r="M678">
        <f>Table1[[#This Row],[Aboard]]-Table1[[#This Row],[Fatalities (air)]]</f>
        <v>0</v>
      </c>
    </row>
    <row r="679" spans="13:13" x14ac:dyDescent="0.25">
      <c r="M679">
        <f>Table1[[#This Row],[Aboard]]-Table1[[#This Row],[Fatalities (air)]]</f>
        <v>0</v>
      </c>
    </row>
    <row r="680" spans="13:13" x14ac:dyDescent="0.25">
      <c r="M680">
        <f>Table1[[#This Row],[Aboard]]-Table1[[#This Row],[Fatalities (air)]]</f>
        <v>0</v>
      </c>
    </row>
    <row r="681" spans="13:13" x14ac:dyDescent="0.25">
      <c r="M681">
        <f>Table1[[#This Row],[Aboard]]-Table1[[#This Row],[Fatalities (air)]]</f>
        <v>0</v>
      </c>
    </row>
    <row r="682" spans="13:13" x14ac:dyDescent="0.25">
      <c r="M682">
        <f>Table1[[#This Row],[Aboard]]-Table1[[#This Row],[Fatalities (air)]]</f>
        <v>0</v>
      </c>
    </row>
    <row r="683" spans="13:13" x14ac:dyDescent="0.25">
      <c r="M683">
        <f>Table1[[#This Row],[Aboard]]-Table1[[#This Row],[Fatalities (air)]]</f>
        <v>0</v>
      </c>
    </row>
    <row r="684" spans="13:13" x14ac:dyDescent="0.25">
      <c r="M684">
        <f>Table1[[#This Row],[Aboard]]-Table1[[#This Row],[Fatalities (air)]]</f>
        <v>0</v>
      </c>
    </row>
    <row r="685" spans="13:13" x14ac:dyDescent="0.25">
      <c r="M685">
        <f>Table1[[#This Row],[Aboard]]-Table1[[#This Row],[Fatalities (air)]]</f>
        <v>0</v>
      </c>
    </row>
    <row r="686" spans="13:13" x14ac:dyDescent="0.25">
      <c r="M686">
        <f>Table1[[#This Row],[Aboard]]-Table1[[#This Row],[Fatalities (air)]]</f>
        <v>0</v>
      </c>
    </row>
    <row r="687" spans="13:13" x14ac:dyDescent="0.25">
      <c r="M687">
        <f>Table1[[#This Row],[Aboard]]-Table1[[#This Row],[Fatalities (air)]]</f>
        <v>0</v>
      </c>
    </row>
    <row r="688" spans="13:13" x14ac:dyDescent="0.25">
      <c r="M688">
        <f>Table1[[#This Row],[Aboard]]-Table1[[#This Row],[Fatalities (air)]]</f>
        <v>0</v>
      </c>
    </row>
    <row r="689" spans="13:13" x14ac:dyDescent="0.25">
      <c r="M689">
        <f>Table1[[#This Row],[Aboard]]-Table1[[#This Row],[Fatalities (air)]]</f>
        <v>0</v>
      </c>
    </row>
    <row r="690" spans="13:13" x14ac:dyDescent="0.25">
      <c r="M690">
        <f>Table1[[#This Row],[Aboard]]-Table1[[#This Row],[Fatalities (air)]]</f>
        <v>0</v>
      </c>
    </row>
    <row r="691" spans="13:13" x14ac:dyDescent="0.25">
      <c r="M691">
        <f>Table1[[#This Row],[Aboard]]-Table1[[#This Row],[Fatalities (air)]]</f>
        <v>0</v>
      </c>
    </row>
    <row r="692" spans="13:13" x14ac:dyDescent="0.25">
      <c r="M692">
        <f>Table1[[#This Row],[Aboard]]-Table1[[#This Row],[Fatalities (air)]]</f>
        <v>0</v>
      </c>
    </row>
    <row r="693" spans="13:13" x14ac:dyDescent="0.25">
      <c r="M693">
        <f>Table1[[#This Row],[Aboard]]-Table1[[#This Row],[Fatalities (air)]]</f>
        <v>0</v>
      </c>
    </row>
    <row r="694" spans="13:13" x14ac:dyDescent="0.25">
      <c r="M694">
        <f>Table1[[#This Row],[Aboard]]-Table1[[#This Row],[Fatalities (air)]]</f>
        <v>0</v>
      </c>
    </row>
    <row r="695" spans="13:13" x14ac:dyDescent="0.25">
      <c r="M695">
        <f>Table1[[#This Row],[Aboard]]-Table1[[#This Row],[Fatalities (air)]]</f>
        <v>0</v>
      </c>
    </row>
    <row r="696" spans="13:13" x14ac:dyDescent="0.25">
      <c r="M696">
        <f>Table1[[#This Row],[Aboard]]-Table1[[#This Row],[Fatalities (air)]]</f>
        <v>0</v>
      </c>
    </row>
    <row r="697" spans="13:13" x14ac:dyDescent="0.25">
      <c r="M697">
        <f>Table1[[#This Row],[Aboard]]-Table1[[#This Row],[Fatalities (air)]]</f>
        <v>0</v>
      </c>
    </row>
    <row r="698" spans="13:13" x14ac:dyDescent="0.25">
      <c r="M698">
        <f>Table1[[#This Row],[Aboard]]-Table1[[#This Row],[Fatalities (air)]]</f>
        <v>0</v>
      </c>
    </row>
    <row r="699" spans="13:13" x14ac:dyDescent="0.25">
      <c r="M699">
        <f>Table1[[#This Row],[Aboard]]-Table1[[#This Row],[Fatalities (air)]]</f>
        <v>0</v>
      </c>
    </row>
    <row r="700" spans="13:13" x14ac:dyDescent="0.25">
      <c r="M700">
        <f>Table1[[#This Row],[Aboard]]-Table1[[#This Row],[Fatalities (air)]]</f>
        <v>0</v>
      </c>
    </row>
    <row r="701" spans="13:13" x14ac:dyDescent="0.25">
      <c r="M701">
        <f>Table1[[#This Row],[Aboard]]-Table1[[#This Row],[Fatalities (air)]]</f>
        <v>0</v>
      </c>
    </row>
    <row r="702" spans="13:13" x14ac:dyDescent="0.25">
      <c r="M702">
        <f>Table1[[#This Row],[Aboard]]-Table1[[#This Row],[Fatalities (air)]]</f>
        <v>0</v>
      </c>
    </row>
    <row r="703" spans="13:13" x14ac:dyDescent="0.25">
      <c r="M703">
        <f>Table1[[#This Row],[Aboard]]-Table1[[#This Row],[Fatalities (air)]]</f>
        <v>0</v>
      </c>
    </row>
    <row r="704" spans="13:13" x14ac:dyDescent="0.25">
      <c r="M704">
        <f>Table1[[#This Row],[Aboard]]-Table1[[#This Row],[Fatalities (air)]]</f>
        <v>0</v>
      </c>
    </row>
    <row r="705" spans="13:13" x14ac:dyDescent="0.25">
      <c r="M705">
        <f>Table1[[#This Row],[Aboard]]-Table1[[#This Row],[Fatalities (air)]]</f>
        <v>0</v>
      </c>
    </row>
    <row r="706" spans="13:13" x14ac:dyDescent="0.25">
      <c r="M706">
        <f>Table1[[#This Row],[Aboard]]-Table1[[#This Row],[Fatalities (air)]]</f>
        <v>0</v>
      </c>
    </row>
    <row r="707" spans="13:13" x14ac:dyDescent="0.25">
      <c r="M707">
        <f>Table1[[#This Row],[Aboard]]-Table1[[#This Row],[Fatalities (air)]]</f>
        <v>0</v>
      </c>
    </row>
    <row r="708" spans="13:13" x14ac:dyDescent="0.25">
      <c r="M708">
        <f>Table1[[#This Row],[Aboard]]-Table1[[#This Row],[Fatalities (air)]]</f>
        <v>0</v>
      </c>
    </row>
    <row r="709" spans="13:13" x14ac:dyDescent="0.25">
      <c r="M709">
        <f>Table1[[#This Row],[Aboard]]-Table1[[#This Row],[Fatalities (air)]]</f>
        <v>0</v>
      </c>
    </row>
    <row r="710" spans="13:13" x14ac:dyDescent="0.25">
      <c r="M710">
        <f>Table1[[#This Row],[Aboard]]-Table1[[#This Row],[Fatalities (air)]]</f>
        <v>0</v>
      </c>
    </row>
    <row r="711" spans="13:13" x14ac:dyDescent="0.25">
      <c r="M711">
        <f>Table1[[#This Row],[Aboard]]-Table1[[#This Row],[Fatalities (air)]]</f>
        <v>0</v>
      </c>
    </row>
    <row r="712" spans="13:13" x14ac:dyDescent="0.25">
      <c r="M712">
        <f>Table1[[#This Row],[Aboard]]-Table1[[#This Row],[Fatalities (air)]]</f>
        <v>0</v>
      </c>
    </row>
    <row r="713" spans="13:13" x14ac:dyDescent="0.25">
      <c r="M713">
        <f>Table1[[#This Row],[Aboard]]-Table1[[#This Row],[Fatalities (air)]]</f>
        <v>0</v>
      </c>
    </row>
    <row r="714" spans="13:13" x14ac:dyDescent="0.25">
      <c r="M714">
        <f>Table1[[#This Row],[Aboard]]-Table1[[#This Row],[Fatalities (air)]]</f>
        <v>0</v>
      </c>
    </row>
    <row r="715" spans="13:13" x14ac:dyDescent="0.25">
      <c r="M715">
        <f>Table1[[#This Row],[Aboard]]-Table1[[#This Row],[Fatalities (air)]]</f>
        <v>0</v>
      </c>
    </row>
    <row r="716" spans="13:13" x14ac:dyDescent="0.25">
      <c r="M716">
        <f>Table1[[#This Row],[Aboard]]-Table1[[#This Row],[Fatalities (air)]]</f>
        <v>0</v>
      </c>
    </row>
    <row r="717" spans="13:13" x14ac:dyDescent="0.25">
      <c r="M717">
        <f>Table1[[#This Row],[Aboard]]-Table1[[#This Row],[Fatalities (air)]]</f>
        <v>0</v>
      </c>
    </row>
    <row r="718" spans="13:13" x14ac:dyDescent="0.25">
      <c r="M718">
        <f>Table1[[#This Row],[Aboard]]-Table1[[#This Row],[Fatalities (air)]]</f>
        <v>0</v>
      </c>
    </row>
    <row r="719" spans="13:13" x14ac:dyDescent="0.25">
      <c r="M719">
        <f>Table1[[#This Row],[Aboard]]-Table1[[#This Row],[Fatalities (air)]]</f>
        <v>0</v>
      </c>
    </row>
    <row r="720" spans="13:13" x14ac:dyDescent="0.25">
      <c r="M720">
        <f>Table1[[#This Row],[Aboard]]-Table1[[#This Row],[Fatalities (air)]]</f>
        <v>0</v>
      </c>
    </row>
    <row r="721" spans="13:13" x14ac:dyDescent="0.25">
      <c r="M721">
        <f>Table1[[#This Row],[Aboard]]-Table1[[#This Row],[Fatalities (air)]]</f>
        <v>0</v>
      </c>
    </row>
    <row r="722" spans="13:13" x14ac:dyDescent="0.25">
      <c r="M722">
        <f>Table1[[#This Row],[Aboard]]-Table1[[#This Row],[Fatalities (air)]]</f>
        <v>0</v>
      </c>
    </row>
    <row r="723" spans="13:13" x14ac:dyDescent="0.25">
      <c r="M723">
        <f>Table1[[#This Row],[Aboard]]-Table1[[#This Row],[Fatalities (air)]]</f>
        <v>0</v>
      </c>
    </row>
    <row r="724" spans="13:13" x14ac:dyDescent="0.25">
      <c r="M724">
        <f>Table1[[#This Row],[Aboard]]-Table1[[#This Row],[Fatalities (air)]]</f>
        <v>0</v>
      </c>
    </row>
    <row r="725" spans="13:13" x14ac:dyDescent="0.25">
      <c r="M725">
        <f>Table1[[#This Row],[Aboard]]-Table1[[#This Row],[Fatalities (air)]]</f>
        <v>0</v>
      </c>
    </row>
    <row r="726" spans="13:13" x14ac:dyDescent="0.25">
      <c r="M726">
        <f>Table1[[#This Row],[Aboard]]-Table1[[#This Row],[Fatalities (air)]]</f>
        <v>0</v>
      </c>
    </row>
    <row r="727" spans="13:13" x14ac:dyDescent="0.25">
      <c r="M727">
        <f>Table1[[#This Row],[Aboard]]-Table1[[#This Row],[Fatalities (air)]]</f>
        <v>0</v>
      </c>
    </row>
    <row r="728" spans="13:13" x14ac:dyDescent="0.25">
      <c r="M728">
        <f>Table1[[#This Row],[Aboard]]-Table1[[#This Row],[Fatalities (air)]]</f>
        <v>0</v>
      </c>
    </row>
    <row r="729" spans="13:13" x14ac:dyDescent="0.25">
      <c r="M729">
        <f>Table1[[#This Row],[Aboard]]-Table1[[#This Row],[Fatalities (air)]]</f>
        <v>0</v>
      </c>
    </row>
    <row r="730" spans="13:13" x14ac:dyDescent="0.25">
      <c r="M730">
        <f>Table1[[#This Row],[Aboard]]-Table1[[#This Row],[Fatalities (air)]]</f>
        <v>0</v>
      </c>
    </row>
    <row r="731" spans="13:13" x14ac:dyDescent="0.25">
      <c r="M731">
        <f>Table1[[#This Row],[Aboard]]-Table1[[#This Row],[Fatalities (air)]]</f>
        <v>0</v>
      </c>
    </row>
    <row r="732" spans="13:13" x14ac:dyDescent="0.25">
      <c r="M732">
        <f>Table1[[#This Row],[Aboard]]-Table1[[#This Row],[Fatalities (air)]]</f>
        <v>0</v>
      </c>
    </row>
    <row r="733" spans="13:13" x14ac:dyDescent="0.25">
      <c r="M733">
        <f>Table1[[#This Row],[Aboard]]-Table1[[#This Row],[Fatalities (air)]]</f>
        <v>0</v>
      </c>
    </row>
    <row r="734" spans="13:13" x14ac:dyDescent="0.25">
      <c r="M734">
        <f>Table1[[#This Row],[Aboard]]-Table1[[#This Row],[Fatalities (air)]]</f>
        <v>0</v>
      </c>
    </row>
    <row r="735" spans="13:13" x14ac:dyDescent="0.25">
      <c r="M735">
        <f>Table1[[#This Row],[Aboard]]-Table1[[#This Row],[Fatalities (air)]]</f>
        <v>0</v>
      </c>
    </row>
    <row r="736" spans="13:13" x14ac:dyDescent="0.25">
      <c r="M736">
        <f>Table1[[#This Row],[Aboard]]-Table1[[#This Row],[Fatalities (air)]]</f>
        <v>0</v>
      </c>
    </row>
    <row r="737" spans="13:13" x14ac:dyDescent="0.25">
      <c r="M737">
        <f>Table1[[#This Row],[Aboard]]-Table1[[#This Row],[Fatalities (air)]]</f>
        <v>0</v>
      </c>
    </row>
    <row r="738" spans="13:13" x14ac:dyDescent="0.25">
      <c r="M738">
        <f>Table1[[#This Row],[Aboard]]-Table1[[#This Row],[Fatalities (air)]]</f>
        <v>0</v>
      </c>
    </row>
    <row r="739" spans="13:13" x14ac:dyDescent="0.25">
      <c r="M739">
        <f>Table1[[#This Row],[Aboard]]-Table1[[#This Row],[Fatalities (air)]]</f>
        <v>0</v>
      </c>
    </row>
    <row r="740" spans="13:13" x14ac:dyDescent="0.25">
      <c r="M740">
        <f>Table1[[#This Row],[Aboard]]-Table1[[#This Row],[Fatalities (air)]]</f>
        <v>0</v>
      </c>
    </row>
    <row r="741" spans="13:13" x14ac:dyDescent="0.25">
      <c r="M741">
        <f>Table1[[#This Row],[Aboard]]-Table1[[#This Row],[Fatalities (air)]]</f>
        <v>0</v>
      </c>
    </row>
    <row r="742" spans="13:13" x14ac:dyDescent="0.25">
      <c r="M742">
        <f>Table1[[#This Row],[Aboard]]-Table1[[#This Row],[Fatalities (air)]]</f>
        <v>0</v>
      </c>
    </row>
    <row r="743" spans="13:13" x14ac:dyDescent="0.25">
      <c r="M743">
        <f>Table1[[#This Row],[Aboard]]-Table1[[#This Row],[Fatalities (air)]]</f>
        <v>0</v>
      </c>
    </row>
    <row r="744" spans="13:13" x14ac:dyDescent="0.25">
      <c r="M744">
        <f>Table1[[#This Row],[Aboard]]-Table1[[#This Row],[Fatalities (air)]]</f>
        <v>0</v>
      </c>
    </row>
    <row r="745" spans="13:13" x14ac:dyDescent="0.25">
      <c r="M745">
        <f>Table1[[#This Row],[Aboard]]-Table1[[#This Row],[Fatalities (air)]]</f>
        <v>0</v>
      </c>
    </row>
    <row r="746" spans="13:13" x14ac:dyDescent="0.25">
      <c r="M746">
        <f>Table1[[#This Row],[Aboard]]-Table1[[#This Row],[Fatalities (air)]]</f>
        <v>0</v>
      </c>
    </row>
    <row r="747" spans="13:13" x14ac:dyDescent="0.25">
      <c r="M747">
        <f>Table1[[#This Row],[Aboard]]-Table1[[#This Row],[Fatalities (air)]]</f>
        <v>0</v>
      </c>
    </row>
    <row r="748" spans="13:13" x14ac:dyDescent="0.25">
      <c r="M748">
        <f>Table1[[#This Row],[Aboard]]-Table1[[#This Row],[Fatalities (air)]]</f>
        <v>0</v>
      </c>
    </row>
    <row r="749" spans="13:13" x14ac:dyDescent="0.25">
      <c r="M749">
        <f>Table1[[#This Row],[Aboard]]-Table1[[#This Row],[Fatalities (air)]]</f>
        <v>0</v>
      </c>
    </row>
    <row r="750" spans="13:13" x14ac:dyDescent="0.25">
      <c r="M750">
        <f>Table1[[#This Row],[Aboard]]-Table1[[#This Row],[Fatalities (air)]]</f>
        <v>0</v>
      </c>
    </row>
    <row r="751" spans="13:13" x14ac:dyDescent="0.25">
      <c r="M751">
        <f>Table1[[#This Row],[Aboard]]-Table1[[#This Row],[Fatalities (air)]]</f>
        <v>0</v>
      </c>
    </row>
    <row r="752" spans="13:13" x14ac:dyDescent="0.25">
      <c r="M752">
        <f>Table1[[#This Row],[Aboard]]-Table1[[#This Row],[Fatalities (air)]]</f>
        <v>0</v>
      </c>
    </row>
    <row r="753" spans="13:13" x14ac:dyDescent="0.25">
      <c r="M753">
        <f>Table1[[#This Row],[Aboard]]-Table1[[#This Row],[Fatalities (air)]]</f>
        <v>0</v>
      </c>
    </row>
    <row r="754" spans="13:13" x14ac:dyDescent="0.25">
      <c r="M754">
        <f>Table1[[#This Row],[Aboard]]-Table1[[#This Row],[Fatalities (air)]]</f>
        <v>0</v>
      </c>
    </row>
    <row r="755" spans="13:13" x14ac:dyDescent="0.25">
      <c r="M755">
        <f>Table1[[#This Row],[Aboard]]-Table1[[#This Row],[Fatalities (air)]]</f>
        <v>0</v>
      </c>
    </row>
    <row r="756" spans="13:13" x14ac:dyDescent="0.25">
      <c r="M756">
        <f>Table1[[#This Row],[Aboard]]-Table1[[#This Row],[Fatalities (air)]]</f>
        <v>0</v>
      </c>
    </row>
    <row r="757" spans="13:13" x14ac:dyDescent="0.25">
      <c r="M757">
        <f>Table1[[#This Row],[Aboard]]-Table1[[#This Row],[Fatalities (air)]]</f>
        <v>0</v>
      </c>
    </row>
    <row r="758" spans="13:13" x14ac:dyDescent="0.25">
      <c r="M758">
        <f>Table1[[#This Row],[Aboard]]-Table1[[#This Row],[Fatalities (air)]]</f>
        <v>0</v>
      </c>
    </row>
    <row r="759" spans="13:13" x14ac:dyDescent="0.25">
      <c r="M759">
        <f>Table1[[#This Row],[Aboard]]-Table1[[#This Row],[Fatalities (air)]]</f>
        <v>0</v>
      </c>
    </row>
    <row r="760" spans="13:13" x14ac:dyDescent="0.25">
      <c r="M760">
        <f>Table1[[#This Row],[Aboard]]-Table1[[#This Row],[Fatalities (air)]]</f>
        <v>0</v>
      </c>
    </row>
    <row r="761" spans="13:13" x14ac:dyDescent="0.25">
      <c r="M761">
        <f>Table1[[#This Row],[Aboard]]-Table1[[#This Row],[Fatalities (air)]]</f>
        <v>0</v>
      </c>
    </row>
    <row r="762" spans="13:13" x14ac:dyDescent="0.25">
      <c r="M762">
        <f>Table1[[#This Row],[Aboard]]-Table1[[#This Row],[Fatalities (air)]]</f>
        <v>0</v>
      </c>
    </row>
    <row r="763" spans="13:13" x14ac:dyDescent="0.25">
      <c r="M763">
        <f>Table1[[#This Row],[Aboard]]-Table1[[#This Row],[Fatalities (air)]]</f>
        <v>0</v>
      </c>
    </row>
    <row r="764" spans="13:13" x14ac:dyDescent="0.25">
      <c r="M764">
        <f>Table1[[#This Row],[Aboard]]-Table1[[#This Row],[Fatalities (air)]]</f>
        <v>0</v>
      </c>
    </row>
    <row r="765" spans="13:13" x14ac:dyDescent="0.25">
      <c r="M765">
        <f>Table1[[#This Row],[Aboard]]-Table1[[#This Row],[Fatalities (air)]]</f>
        <v>0</v>
      </c>
    </row>
    <row r="766" spans="13:13" x14ac:dyDescent="0.25">
      <c r="M766">
        <f>Table1[[#This Row],[Aboard]]-Table1[[#This Row],[Fatalities (air)]]</f>
        <v>0</v>
      </c>
    </row>
    <row r="767" spans="13:13" x14ac:dyDescent="0.25">
      <c r="M767">
        <f>Table1[[#This Row],[Aboard]]-Table1[[#This Row],[Fatalities (air)]]</f>
        <v>0</v>
      </c>
    </row>
    <row r="768" spans="13:13" x14ac:dyDescent="0.25">
      <c r="M768">
        <f>Table1[[#This Row],[Aboard]]-Table1[[#This Row],[Fatalities (air)]]</f>
        <v>0</v>
      </c>
    </row>
    <row r="769" spans="13:13" x14ac:dyDescent="0.25">
      <c r="M769">
        <f>Table1[[#This Row],[Aboard]]-Table1[[#This Row],[Fatalities (air)]]</f>
        <v>0</v>
      </c>
    </row>
    <row r="770" spans="13:13" x14ac:dyDescent="0.25">
      <c r="M770">
        <f>Table1[[#This Row],[Aboard]]-Table1[[#This Row],[Fatalities (air)]]</f>
        <v>0</v>
      </c>
    </row>
    <row r="771" spans="13:13" x14ac:dyDescent="0.25">
      <c r="M771">
        <f>Table1[[#This Row],[Aboard]]-Table1[[#This Row],[Fatalities (air)]]</f>
        <v>0</v>
      </c>
    </row>
    <row r="772" spans="13:13" x14ac:dyDescent="0.25">
      <c r="M772">
        <f>Table1[[#This Row],[Aboard]]-Table1[[#This Row],[Fatalities (air)]]</f>
        <v>0</v>
      </c>
    </row>
    <row r="773" spans="13:13" x14ac:dyDescent="0.25">
      <c r="M773">
        <f>Table1[[#This Row],[Aboard]]-Table1[[#This Row],[Fatalities (air)]]</f>
        <v>0</v>
      </c>
    </row>
    <row r="774" spans="13:13" x14ac:dyDescent="0.25">
      <c r="M774">
        <f>Table1[[#This Row],[Aboard]]-Table1[[#This Row],[Fatalities (air)]]</f>
        <v>0</v>
      </c>
    </row>
    <row r="775" spans="13:13" x14ac:dyDescent="0.25">
      <c r="M775">
        <f>Table1[[#This Row],[Aboard]]-Table1[[#This Row],[Fatalities (air)]]</f>
        <v>0</v>
      </c>
    </row>
    <row r="776" spans="13:13" x14ac:dyDescent="0.25">
      <c r="M776">
        <f>Table1[[#This Row],[Aboard]]-Table1[[#This Row],[Fatalities (air)]]</f>
        <v>0</v>
      </c>
    </row>
    <row r="777" spans="13:13" x14ac:dyDescent="0.25">
      <c r="M777">
        <f>Table1[[#This Row],[Aboard]]-Table1[[#This Row],[Fatalities (air)]]</f>
        <v>0</v>
      </c>
    </row>
    <row r="778" spans="13:13" x14ac:dyDescent="0.25">
      <c r="M778">
        <f>Table1[[#This Row],[Aboard]]-Table1[[#This Row],[Fatalities (air)]]</f>
        <v>0</v>
      </c>
    </row>
    <row r="779" spans="13:13" x14ac:dyDescent="0.25">
      <c r="M779">
        <f>Table1[[#This Row],[Aboard]]-Table1[[#This Row],[Fatalities (air)]]</f>
        <v>0</v>
      </c>
    </row>
    <row r="780" spans="13:13" x14ac:dyDescent="0.25">
      <c r="M780">
        <f>Table1[[#This Row],[Aboard]]-Table1[[#This Row],[Fatalities (air)]]</f>
        <v>0</v>
      </c>
    </row>
    <row r="781" spans="13:13" x14ac:dyDescent="0.25">
      <c r="M781">
        <f>Table1[[#This Row],[Aboard]]-Table1[[#This Row],[Fatalities (air)]]</f>
        <v>0</v>
      </c>
    </row>
    <row r="782" spans="13:13" x14ac:dyDescent="0.25">
      <c r="M782">
        <f>Table1[[#This Row],[Aboard]]-Table1[[#This Row],[Fatalities (air)]]</f>
        <v>0</v>
      </c>
    </row>
    <row r="783" spans="13:13" x14ac:dyDescent="0.25">
      <c r="M783">
        <f>Table1[[#This Row],[Aboard]]-Table1[[#This Row],[Fatalities (air)]]</f>
        <v>0</v>
      </c>
    </row>
    <row r="784" spans="13:13" x14ac:dyDescent="0.25">
      <c r="M784">
        <f>Table1[[#This Row],[Aboard]]-Table1[[#This Row],[Fatalities (air)]]</f>
        <v>0</v>
      </c>
    </row>
    <row r="785" spans="13:13" x14ac:dyDescent="0.25">
      <c r="M785">
        <f>Table1[[#This Row],[Aboard]]-Table1[[#This Row],[Fatalities (air)]]</f>
        <v>0</v>
      </c>
    </row>
    <row r="786" spans="13:13" x14ac:dyDescent="0.25">
      <c r="M786">
        <f>Table1[[#This Row],[Aboard]]-Table1[[#This Row],[Fatalities (air)]]</f>
        <v>0</v>
      </c>
    </row>
    <row r="787" spans="13:13" x14ac:dyDescent="0.25">
      <c r="M787">
        <f>Table1[[#This Row],[Aboard]]-Table1[[#This Row],[Fatalities (air)]]</f>
        <v>0</v>
      </c>
    </row>
    <row r="788" spans="13:13" x14ac:dyDescent="0.25">
      <c r="M788">
        <f>Table1[[#This Row],[Aboard]]-Table1[[#This Row],[Fatalities (air)]]</f>
        <v>0</v>
      </c>
    </row>
    <row r="789" spans="13:13" x14ac:dyDescent="0.25">
      <c r="M789">
        <f>Table1[[#This Row],[Aboard]]-Table1[[#This Row],[Fatalities (air)]]</f>
        <v>0</v>
      </c>
    </row>
    <row r="790" spans="13:13" x14ac:dyDescent="0.25">
      <c r="M790">
        <f>Table1[[#This Row],[Aboard]]-Table1[[#This Row],[Fatalities (air)]]</f>
        <v>0</v>
      </c>
    </row>
    <row r="791" spans="13:13" x14ac:dyDescent="0.25">
      <c r="M791">
        <f>Table1[[#This Row],[Aboard]]-Table1[[#This Row],[Fatalities (air)]]</f>
        <v>0</v>
      </c>
    </row>
    <row r="792" spans="13:13" x14ac:dyDescent="0.25">
      <c r="M792">
        <f>Table1[[#This Row],[Aboard]]-Table1[[#This Row],[Fatalities (air)]]</f>
        <v>0</v>
      </c>
    </row>
    <row r="793" spans="13:13" x14ac:dyDescent="0.25">
      <c r="M793">
        <f>Table1[[#This Row],[Aboard]]-Table1[[#This Row],[Fatalities (air)]]</f>
        <v>0</v>
      </c>
    </row>
    <row r="794" spans="13:13" x14ac:dyDescent="0.25">
      <c r="M794">
        <f>Table1[[#This Row],[Aboard]]-Table1[[#This Row],[Fatalities (air)]]</f>
        <v>0</v>
      </c>
    </row>
    <row r="795" spans="13:13" x14ac:dyDescent="0.25">
      <c r="M795">
        <f>Table1[[#This Row],[Aboard]]-Table1[[#This Row],[Fatalities (air)]]</f>
        <v>0</v>
      </c>
    </row>
    <row r="796" spans="13:13" x14ac:dyDescent="0.25">
      <c r="M796">
        <f>Table1[[#This Row],[Aboard]]-Table1[[#This Row],[Fatalities (air)]]</f>
        <v>0</v>
      </c>
    </row>
    <row r="797" spans="13:13" x14ac:dyDescent="0.25">
      <c r="M797">
        <f>Table1[[#This Row],[Aboard]]-Table1[[#This Row],[Fatalities (air)]]</f>
        <v>0</v>
      </c>
    </row>
    <row r="798" spans="13:13" x14ac:dyDescent="0.25">
      <c r="M798">
        <f>Table1[[#This Row],[Aboard]]-Table1[[#This Row],[Fatalities (air)]]</f>
        <v>0</v>
      </c>
    </row>
    <row r="799" spans="13:13" x14ac:dyDescent="0.25">
      <c r="M799">
        <f>Table1[[#This Row],[Aboard]]-Table1[[#This Row],[Fatalities (air)]]</f>
        <v>0</v>
      </c>
    </row>
    <row r="800" spans="13:13" x14ac:dyDescent="0.25">
      <c r="M800">
        <f>Table1[[#This Row],[Aboard]]-Table1[[#This Row],[Fatalities (air)]]</f>
        <v>0</v>
      </c>
    </row>
    <row r="801" spans="13:13" x14ac:dyDescent="0.25">
      <c r="M801">
        <f>Table1[[#This Row],[Aboard]]-Table1[[#This Row],[Fatalities (air)]]</f>
        <v>0</v>
      </c>
    </row>
    <row r="802" spans="13:13" x14ac:dyDescent="0.25">
      <c r="M802">
        <f>Table1[[#This Row],[Aboard]]-Table1[[#This Row],[Fatalities (air)]]</f>
        <v>0</v>
      </c>
    </row>
    <row r="803" spans="13:13" x14ac:dyDescent="0.25">
      <c r="M803">
        <f>Table1[[#This Row],[Aboard]]-Table1[[#This Row],[Fatalities (air)]]</f>
        <v>0</v>
      </c>
    </row>
    <row r="804" spans="13:13" x14ac:dyDescent="0.25">
      <c r="M804">
        <f>Table1[[#This Row],[Aboard]]-Table1[[#This Row],[Fatalities (air)]]</f>
        <v>0</v>
      </c>
    </row>
    <row r="805" spans="13:13" x14ac:dyDescent="0.25">
      <c r="M805">
        <f>Table1[[#This Row],[Aboard]]-Table1[[#This Row],[Fatalities (air)]]</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9966-1C3D-46F5-A746-734ED1A226D9}">
  <dimension ref="A1:N29"/>
  <sheetViews>
    <sheetView workbookViewId="0">
      <selection activeCell="F28" sqref="F28"/>
    </sheetView>
  </sheetViews>
  <sheetFormatPr defaultRowHeight="13.8" x14ac:dyDescent="0.25"/>
  <cols>
    <col min="1" max="1" width="13.33203125" bestFit="1" customWidth="1"/>
    <col min="2" max="2" width="19.5546875" bestFit="1" customWidth="1"/>
  </cols>
  <sheetData>
    <row r="1" spans="1:2" x14ac:dyDescent="0.25">
      <c r="A1" t="s">
        <v>267</v>
      </c>
    </row>
    <row r="2" spans="1:2" x14ac:dyDescent="0.25">
      <c r="A2" t="s">
        <v>268</v>
      </c>
    </row>
    <row r="4" spans="1:2" x14ac:dyDescent="0.25">
      <c r="A4" s="1" t="s">
        <v>265</v>
      </c>
      <c r="B4" t="s">
        <v>269</v>
      </c>
    </row>
    <row r="5" spans="1:2" x14ac:dyDescent="0.25">
      <c r="A5" s="2">
        <v>2000</v>
      </c>
      <c r="B5" s="3">
        <v>6</v>
      </c>
    </row>
    <row r="6" spans="1:2" x14ac:dyDescent="0.25">
      <c r="A6" s="2">
        <v>2001</v>
      </c>
      <c r="B6" s="3">
        <v>10</v>
      </c>
    </row>
    <row r="7" spans="1:2" x14ac:dyDescent="0.25">
      <c r="A7" s="2">
        <v>2002</v>
      </c>
      <c r="B7" s="3">
        <v>16</v>
      </c>
    </row>
    <row r="8" spans="1:2" x14ac:dyDescent="0.25">
      <c r="A8" s="2">
        <v>2003</v>
      </c>
      <c r="B8" s="3">
        <v>9</v>
      </c>
    </row>
    <row r="9" spans="1:2" x14ac:dyDescent="0.25">
      <c r="A9" s="2">
        <v>2004</v>
      </c>
      <c r="B9" s="3">
        <v>11</v>
      </c>
    </row>
    <row r="10" spans="1:2" x14ac:dyDescent="0.25">
      <c r="A10" s="2">
        <v>2005</v>
      </c>
      <c r="B10" s="3">
        <v>12</v>
      </c>
    </row>
    <row r="11" spans="1:2" x14ac:dyDescent="0.25">
      <c r="A11" s="2">
        <v>2006</v>
      </c>
      <c r="B11" s="3">
        <v>11</v>
      </c>
    </row>
    <row r="12" spans="1:2" x14ac:dyDescent="0.25">
      <c r="A12" s="2">
        <v>2007</v>
      </c>
      <c r="B12" s="3">
        <v>9</v>
      </c>
    </row>
    <row r="13" spans="1:2" x14ac:dyDescent="0.25">
      <c r="A13" s="2">
        <v>2008</v>
      </c>
      <c r="B13" s="3">
        <v>8</v>
      </c>
    </row>
    <row r="14" spans="1:2" x14ac:dyDescent="0.25">
      <c r="A14" s="2">
        <v>2009</v>
      </c>
      <c r="B14" s="3">
        <v>9</v>
      </c>
    </row>
    <row r="15" spans="1:2" x14ac:dyDescent="0.25">
      <c r="A15" s="2">
        <v>2010</v>
      </c>
      <c r="B15" s="3">
        <v>10</v>
      </c>
    </row>
    <row r="16" spans="1:2" x14ac:dyDescent="0.25">
      <c r="A16" s="2">
        <v>2011</v>
      </c>
      <c r="B16" s="3">
        <v>9</v>
      </c>
    </row>
    <row r="17" spans="1:14" x14ac:dyDescent="0.25">
      <c r="A17" s="2">
        <v>2012</v>
      </c>
      <c r="B17" s="3">
        <v>10</v>
      </c>
    </row>
    <row r="18" spans="1:14" x14ac:dyDescent="0.25">
      <c r="A18" s="2">
        <v>2013</v>
      </c>
      <c r="B18" s="3">
        <v>4</v>
      </c>
    </row>
    <row r="19" spans="1:14" x14ac:dyDescent="0.25">
      <c r="A19" s="2">
        <v>2014</v>
      </c>
      <c r="B19" s="3">
        <v>3</v>
      </c>
    </row>
    <row r="20" spans="1:14" x14ac:dyDescent="0.25">
      <c r="A20" s="2">
        <v>2015</v>
      </c>
      <c r="B20" s="3">
        <v>7</v>
      </c>
    </row>
    <row r="21" spans="1:14" x14ac:dyDescent="0.25">
      <c r="A21" s="2">
        <v>2016</v>
      </c>
      <c r="B21" s="3">
        <v>7</v>
      </c>
    </row>
    <row r="22" spans="1:14" ht="15.6" x14ac:dyDescent="0.3">
      <c r="A22" s="2">
        <v>2017</v>
      </c>
      <c r="B22" s="3">
        <v>1</v>
      </c>
      <c r="D22" s="18" t="s">
        <v>300</v>
      </c>
      <c r="E22" s="18"/>
      <c r="F22" s="18"/>
      <c r="G22" s="18"/>
      <c r="H22" s="18"/>
      <c r="I22" s="18"/>
      <c r="J22" s="18"/>
      <c r="K22" s="18"/>
      <c r="L22" s="18"/>
      <c r="M22" s="18"/>
      <c r="N22" s="18"/>
    </row>
    <row r="23" spans="1:14" ht="15.6" x14ac:dyDescent="0.3">
      <c r="A23" s="2">
        <v>2018</v>
      </c>
      <c r="B23" s="3">
        <v>3</v>
      </c>
      <c r="D23" s="18" t="s">
        <v>301</v>
      </c>
      <c r="E23" s="18"/>
      <c r="F23" s="18"/>
      <c r="G23" s="18"/>
      <c r="H23" s="18"/>
      <c r="I23" s="18"/>
      <c r="J23" s="18"/>
      <c r="K23" s="18"/>
      <c r="L23" s="18"/>
      <c r="M23" s="18"/>
      <c r="N23" s="18"/>
    </row>
    <row r="24" spans="1:14" ht="15.6" x14ac:dyDescent="0.3">
      <c r="A24" s="2">
        <v>2019</v>
      </c>
      <c r="B24" s="3">
        <v>4</v>
      </c>
      <c r="D24" s="18" t="s">
        <v>302</v>
      </c>
      <c r="E24" s="18"/>
      <c r="F24" s="18"/>
      <c r="G24" s="18"/>
      <c r="H24" s="18"/>
      <c r="I24" s="18"/>
      <c r="J24" s="18"/>
      <c r="K24" s="18"/>
      <c r="L24" s="18"/>
      <c r="M24" s="18"/>
      <c r="N24" s="18"/>
    </row>
    <row r="25" spans="1:14" ht="15.6" x14ac:dyDescent="0.3">
      <c r="A25" s="2">
        <v>2020</v>
      </c>
      <c r="B25" s="3">
        <v>3</v>
      </c>
      <c r="D25" s="18" t="s">
        <v>303</v>
      </c>
      <c r="E25" s="18"/>
      <c r="F25" s="18"/>
      <c r="G25" s="18"/>
      <c r="H25" s="18"/>
      <c r="I25" s="18"/>
      <c r="J25" s="18"/>
      <c r="K25" s="18"/>
      <c r="L25" s="18"/>
      <c r="M25" s="18"/>
      <c r="N25" s="18"/>
    </row>
    <row r="26" spans="1:14" x14ac:dyDescent="0.25">
      <c r="A26" s="2">
        <v>2021</v>
      </c>
      <c r="B26" s="3">
        <v>3</v>
      </c>
    </row>
    <row r="27" spans="1:14" x14ac:dyDescent="0.25">
      <c r="A27" s="2">
        <v>2022</v>
      </c>
      <c r="B27" s="3">
        <v>2</v>
      </c>
    </row>
    <row r="28" spans="1:14" x14ac:dyDescent="0.25">
      <c r="A28" s="2">
        <v>2023</v>
      </c>
      <c r="B28" s="3">
        <v>2</v>
      </c>
    </row>
    <row r="29" spans="1:14" x14ac:dyDescent="0.25">
      <c r="A29" s="2" t="s">
        <v>266</v>
      </c>
      <c r="B29" s="3">
        <v>169</v>
      </c>
    </row>
  </sheetData>
  <pageMargins left="0.7" right="0.7" top="0.75" bottom="0.75" header="0.3" footer="0.3"/>
  <pageSetup orientation="portrait" horizontalDpi="300" verticalDpi="3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BEAF-C765-4BAE-BD25-CDF67FA4898C}">
  <dimension ref="A1:B14"/>
  <sheetViews>
    <sheetView workbookViewId="0">
      <selection activeCell="A3" sqref="A3"/>
    </sheetView>
  </sheetViews>
  <sheetFormatPr defaultRowHeight="13.8" x14ac:dyDescent="0.25"/>
  <cols>
    <col min="1" max="1" width="13.33203125" bestFit="1" customWidth="1"/>
    <col min="2" max="2" width="19.5546875" bestFit="1" customWidth="1"/>
  </cols>
  <sheetData>
    <row r="1" spans="1:2" x14ac:dyDescent="0.25">
      <c r="A1" t="s">
        <v>270</v>
      </c>
    </row>
    <row r="2" spans="1:2" x14ac:dyDescent="0.25">
      <c r="A2" t="s">
        <v>271</v>
      </c>
    </row>
    <row r="3" spans="1:2" x14ac:dyDescent="0.25">
      <c r="A3" s="1" t="s">
        <v>265</v>
      </c>
      <c r="B3" t="s">
        <v>269</v>
      </c>
    </row>
    <row r="4" spans="1:2" x14ac:dyDescent="0.25">
      <c r="A4" s="2" t="s">
        <v>6</v>
      </c>
      <c r="B4" s="3">
        <v>34</v>
      </c>
    </row>
    <row r="5" spans="1:2" x14ac:dyDescent="0.25">
      <c r="A5" s="2" t="s">
        <v>4</v>
      </c>
      <c r="B5" s="3">
        <v>21</v>
      </c>
    </row>
    <row r="6" spans="1:2" x14ac:dyDescent="0.25">
      <c r="A6" s="2" t="s">
        <v>3</v>
      </c>
      <c r="B6" s="3">
        <v>18</v>
      </c>
    </row>
    <row r="7" spans="1:2" x14ac:dyDescent="0.25">
      <c r="A7" s="2" t="s">
        <v>11</v>
      </c>
      <c r="B7" s="3">
        <v>17</v>
      </c>
    </row>
    <row r="8" spans="1:2" x14ac:dyDescent="0.25">
      <c r="A8" s="2" t="s">
        <v>10</v>
      </c>
      <c r="B8" s="3">
        <v>15</v>
      </c>
    </row>
    <row r="9" spans="1:2" x14ac:dyDescent="0.25">
      <c r="A9" s="2" t="s">
        <v>1</v>
      </c>
      <c r="B9" s="3">
        <v>14</v>
      </c>
    </row>
    <row r="10" spans="1:2" x14ac:dyDescent="0.25">
      <c r="A10" s="2" t="s">
        <v>12</v>
      </c>
      <c r="B10" s="3">
        <v>11</v>
      </c>
    </row>
    <row r="11" spans="1:2" x14ac:dyDescent="0.25">
      <c r="A11" s="2" t="s">
        <v>8</v>
      </c>
      <c r="B11" s="3">
        <v>9</v>
      </c>
    </row>
    <row r="12" spans="1:2" x14ac:dyDescent="0.25">
      <c r="A12" s="2" t="s">
        <v>5</v>
      </c>
      <c r="B12" s="3">
        <v>8</v>
      </c>
    </row>
    <row r="13" spans="1:2" x14ac:dyDescent="0.25">
      <c r="A13" s="2" t="s">
        <v>7</v>
      </c>
      <c r="B13" s="3">
        <v>7</v>
      </c>
    </row>
    <row r="14" spans="1:2" x14ac:dyDescent="0.25">
      <c r="A14" s="2" t="s">
        <v>266</v>
      </c>
      <c r="B14" s="3">
        <v>154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D1D0-2F0E-4DCA-8E5F-31ED86B72A19}">
  <dimension ref="A1:B28"/>
  <sheetViews>
    <sheetView workbookViewId="0">
      <selection activeCell="A3" sqref="A3"/>
    </sheetView>
  </sheetViews>
  <sheetFormatPr defaultRowHeight="13.8" x14ac:dyDescent="0.25"/>
  <cols>
    <col min="1" max="1" width="13.33203125" bestFit="1" customWidth="1"/>
    <col min="2" max="2" width="20" bestFit="1" customWidth="1"/>
  </cols>
  <sheetData>
    <row r="1" spans="1:2" x14ac:dyDescent="0.25">
      <c r="A1" t="s">
        <v>272</v>
      </c>
    </row>
    <row r="2" spans="1:2" x14ac:dyDescent="0.25">
      <c r="A2" t="s">
        <v>273</v>
      </c>
    </row>
    <row r="3" spans="1:2" x14ac:dyDescent="0.25">
      <c r="A3" s="1" t="s">
        <v>265</v>
      </c>
      <c r="B3" t="s">
        <v>274</v>
      </c>
    </row>
    <row r="4" spans="1:2" x14ac:dyDescent="0.25">
      <c r="A4" s="2">
        <v>2000</v>
      </c>
      <c r="B4" s="3">
        <v>107</v>
      </c>
    </row>
    <row r="5" spans="1:2" x14ac:dyDescent="0.25">
      <c r="A5" s="2">
        <v>2001</v>
      </c>
      <c r="B5" s="3">
        <v>63</v>
      </c>
    </row>
    <row r="6" spans="1:2" x14ac:dyDescent="0.25">
      <c r="A6" s="2">
        <v>2002</v>
      </c>
      <c r="B6" s="3">
        <v>269</v>
      </c>
    </row>
    <row r="7" spans="1:2" x14ac:dyDescent="0.25">
      <c r="A7" s="2">
        <v>2003</v>
      </c>
      <c r="B7" s="3">
        <v>213</v>
      </c>
    </row>
    <row r="8" spans="1:2" x14ac:dyDescent="0.25">
      <c r="A8" s="2">
        <v>2004</v>
      </c>
      <c r="B8" s="3">
        <v>94</v>
      </c>
    </row>
    <row r="9" spans="1:2" x14ac:dyDescent="0.25">
      <c r="A9" s="2">
        <v>2005</v>
      </c>
      <c r="B9" s="3">
        <v>558</v>
      </c>
    </row>
    <row r="10" spans="1:2" x14ac:dyDescent="0.25">
      <c r="A10" s="2">
        <v>2006</v>
      </c>
      <c r="B10" s="3">
        <v>383</v>
      </c>
    </row>
    <row r="11" spans="1:2" x14ac:dyDescent="0.25">
      <c r="A11" s="2">
        <v>2007</v>
      </c>
      <c r="B11" s="3">
        <v>348</v>
      </c>
    </row>
    <row r="12" spans="1:2" x14ac:dyDescent="0.25">
      <c r="A12" s="2">
        <v>2008</v>
      </c>
      <c r="B12" s="3">
        <v>92</v>
      </c>
    </row>
    <row r="13" spans="1:2" x14ac:dyDescent="0.25">
      <c r="A13" s="2">
        <v>2009</v>
      </c>
      <c r="B13" s="3">
        <v>227</v>
      </c>
    </row>
    <row r="14" spans="1:2" x14ac:dyDescent="0.25">
      <c r="A14" s="2">
        <v>2010</v>
      </c>
      <c r="B14" s="3">
        <v>432</v>
      </c>
    </row>
    <row r="15" spans="1:2" x14ac:dyDescent="0.25">
      <c r="A15" s="2">
        <v>2011</v>
      </c>
      <c r="B15" s="3">
        <v>174</v>
      </c>
    </row>
    <row r="16" spans="1:2" x14ac:dyDescent="0.25">
      <c r="A16" s="2">
        <v>2012</v>
      </c>
      <c r="B16" s="3">
        <v>438</v>
      </c>
    </row>
    <row r="17" spans="1:2" x14ac:dyDescent="0.25">
      <c r="A17" s="2">
        <v>2013</v>
      </c>
      <c r="B17" s="3">
        <v>28</v>
      </c>
    </row>
    <row r="18" spans="1:2" x14ac:dyDescent="0.25">
      <c r="A18" s="2">
        <v>2014</v>
      </c>
      <c r="B18" s="3">
        <v>28</v>
      </c>
    </row>
    <row r="19" spans="1:2" x14ac:dyDescent="0.25">
      <c r="A19" s="2">
        <v>2015</v>
      </c>
      <c r="B19" s="3">
        <v>169</v>
      </c>
    </row>
    <row r="20" spans="1:2" x14ac:dyDescent="0.25">
      <c r="A20" s="2">
        <v>2016</v>
      </c>
      <c r="B20" s="3">
        <v>165</v>
      </c>
    </row>
    <row r="21" spans="1:2" x14ac:dyDescent="0.25">
      <c r="A21" s="2">
        <v>2017</v>
      </c>
      <c r="B21" s="3">
        <v>2</v>
      </c>
    </row>
    <row r="22" spans="1:2" x14ac:dyDescent="0.25">
      <c r="A22" s="2">
        <v>2018</v>
      </c>
      <c r="B22" s="3">
        <v>250</v>
      </c>
    </row>
    <row r="23" spans="1:2" x14ac:dyDescent="0.25">
      <c r="A23" s="2">
        <v>2019</v>
      </c>
      <c r="B23" s="3">
        <v>189</v>
      </c>
    </row>
    <row r="24" spans="1:2" x14ac:dyDescent="0.25">
      <c r="A24" s="2">
        <v>2020</v>
      </c>
      <c r="B24" s="3">
        <v>135</v>
      </c>
    </row>
    <row r="25" spans="1:2" x14ac:dyDescent="0.25">
      <c r="A25" s="2">
        <v>2021</v>
      </c>
      <c r="B25" s="3">
        <v>83</v>
      </c>
    </row>
    <row r="26" spans="1:2" x14ac:dyDescent="0.25">
      <c r="A26" s="2">
        <v>2022</v>
      </c>
      <c r="B26" s="3">
        <v>8</v>
      </c>
    </row>
    <row r="27" spans="1:2" x14ac:dyDescent="0.25">
      <c r="A27" s="2">
        <v>2023</v>
      </c>
      <c r="B27" s="3">
        <v>86</v>
      </c>
    </row>
    <row r="28" spans="1:2" x14ac:dyDescent="0.25">
      <c r="A28" s="2" t="s">
        <v>266</v>
      </c>
      <c r="B28" s="3">
        <v>4541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46776-0195-4FCF-91C1-7C231A8F3C35}">
  <dimension ref="A1:B24"/>
  <sheetViews>
    <sheetView workbookViewId="0">
      <selection activeCell="A24" sqref="A24"/>
    </sheetView>
  </sheetViews>
  <sheetFormatPr defaultRowHeight="13.8" x14ac:dyDescent="0.25"/>
  <cols>
    <col min="1" max="1" width="26.21875" bestFit="1" customWidth="1"/>
    <col min="2" max="2" width="19.5546875" bestFit="1" customWidth="1"/>
  </cols>
  <sheetData>
    <row r="1" spans="1:2" x14ac:dyDescent="0.25">
      <c r="A1" t="s">
        <v>275</v>
      </c>
    </row>
    <row r="2" spans="1:2" x14ac:dyDescent="0.25">
      <c r="A2" t="s">
        <v>276</v>
      </c>
    </row>
    <row r="4" spans="1:2" x14ac:dyDescent="0.25">
      <c r="A4" s="1" t="s">
        <v>265</v>
      </c>
      <c r="B4" t="s">
        <v>269</v>
      </c>
    </row>
    <row r="5" spans="1:2" x14ac:dyDescent="0.25">
      <c r="A5" s="2" t="s">
        <v>182</v>
      </c>
      <c r="B5" s="3">
        <v>2</v>
      </c>
    </row>
    <row r="6" spans="1:2" x14ac:dyDescent="0.25">
      <c r="A6" s="2" t="s">
        <v>144</v>
      </c>
      <c r="B6" s="3">
        <v>2</v>
      </c>
    </row>
    <row r="7" spans="1:2" x14ac:dyDescent="0.25">
      <c r="A7" s="2" t="s">
        <v>127</v>
      </c>
      <c r="B7" s="3">
        <v>3</v>
      </c>
    </row>
    <row r="8" spans="1:2" x14ac:dyDescent="0.25">
      <c r="A8" s="2" t="s">
        <v>154</v>
      </c>
      <c r="B8" s="3">
        <v>2</v>
      </c>
    </row>
    <row r="9" spans="1:2" x14ac:dyDescent="0.25">
      <c r="A9" s="2" t="s">
        <v>170</v>
      </c>
      <c r="B9" s="3">
        <v>2</v>
      </c>
    </row>
    <row r="10" spans="1:2" x14ac:dyDescent="0.25">
      <c r="A10" s="2" t="s">
        <v>156</v>
      </c>
      <c r="B10" s="3">
        <v>2</v>
      </c>
    </row>
    <row r="11" spans="1:2" x14ac:dyDescent="0.25">
      <c r="A11" s="2" t="s">
        <v>141</v>
      </c>
      <c r="B11" s="3">
        <v>3</v>
      </c>
    </row>
    <row r="12" spans="1:2" x14ac:dyDescent="0.25">
      <c r="A12" s="2" t="s">
        <v>175</v>
      </c>
      <c r="B12" s="3">
        <v>4</v>
      </c>
    </row>
    <row r="13" spans="1:2" x14ac:dyDescent="0.25">
      <c r="A13" s="2" t="s">
        <v>196</v>
      </c>
      <c r="B13" s="3">
        <v>2</v>
      </c>
    </row>
    <row r="14" spans="1:2" x14ac:dyDescent="0.25">
      <c r="A14" s="2" t="s">
        <v>135</v>
      </c>
      <c r="B14" s="3">
        <v>2</v>
      </c>
    </row>
    <row r="15" spans="1:2" x14ac:dyDescent="0.25">
      <c r="A15" s="2" t="s">
        <v>202</v>
      </c>
      <c r="B15" s="3">
        <v>2</v>
      </c>
    </row>
    <row r="16" spans="1:2" x14ac:dyDescent="0.25">
      <c r="A16" s="2" t="s">
        <v>121</v>
      </c>
      <c r="B16" s="3">
        <v>2</v>
      </c>
    </row>
    <row r="17" spans="1:2" x14ac:dyDescent="0.25">
      <c r="A17" s="2" t="s">
        <v>150</v>
      </c>
      <c r="B17" s="3">
        <v>2</v>
      </c>
    </row>
    <row r="18" spans="1:2" x14ac:dyDescent="0.25">
      <c r="A18" s="2" t="s">
        <v>198</v>
      </c>
      <c r="B18" s="3">
        <v>2</v>
      </c>
    </row>
    <row r="19" spans="1:2" x14ac:dyDescent="0.25">
      <c r="A19" s="2" t="s">
        <v>130</v>
      </c>
      <c r="B19" s="3">
        <v>5</v>
      </c>
    </row>
    <row r="20" spans="1:2" x14ac:dyDescent="0.25">
      <c r="A20" s="2" t="s">
        <v>229</v>
      </c>
      <c r="B20" s="3">
        <v>2</v>
      </c>
    </row>
    <row r="21" spans="1:2" x14ac:dyDescent="0.25">
      <c r="A21" s="2" t="s">
        <v>177</v>
      </c>
      <c r="B21" s="3">
        <v>2</v>
      </c>
    </row>
    <row r="22" spans="1:2" x14ac:dyDescent="0.25">
      <c r="A22" s="2" t="s">
        <v>128</v>
      </c>
      <c r="B22" s="3">
        <v>2</v>
      </c>
    </row>
    <row r="23" spans="1:2" x14ac:dyDescent="0.25">
      <c r="A23" s="2" t="s">
        <v>224</v>
      </c>
      <c r="B23" s="3">
        <v>3</v>
      </c>
    </row>
    <row r="24" spans="1:2" x14ac:dyDescent="0.25">
      <c r="A24" s="2" t="s">
        <v>266</v>
      </c>
      <c r="B24" s="3">
        <v>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9BB0D-493F-4D5F-9866-CEF30555D652}">
  <dimension ref="A1:B8"/>
  <sheetViews>
    <sheetView workbookViewId="0">
      <selection activeCell="A3" sqref="A3"/>
    </sheetView>
  </sheetViews>
  <sheetFormatPr defaultRowHeight="13.8" x14ac:dyDescent="0.25"/>
  <cols>
    <col min="1" max="1" width="23.44140625" bestFit="1" customWidth="1"/>
    <col min="2" max="2" width="20" bestFit="1" customWidth="1"/>
  </cols>
  <sheetData>
    <row r="1" spans="1:2" x14ac:dyDescent="0.25">
      <c r="A1" t="s">
        <v>277</v>
      </c>
    </row>
    <row r="2" spans="1:2" x14ac:dyDescent="0.25">
      <c r="A2" t="s">
        <v>298</v>
      </c>
    </row>
    <row r="3" spans="1:2" x14ac:dyDescent="0.25">
      <c r="A3" s="1" t="s">
        <v>265</v>
      </c>
      <c r="B3" t="s">
        <v>274</v>
      </c>
    </row>
    <row r="4" spans="1:2" x14ac:dyDescent="0.25">
      <c r="A4" s="2" t="s">
        <v>297</v>
      </c>
      <c r="B4" s="3">
        <v>137</v>
      </c>
    </row>
    <row r="5" spans="1:2" x14ac:dyDescent="0.25">
      <c r="A5" s="2" t="s">
        <v>294</v>
      </c>
      <c r="B5" s="3">
        <v>926</v>
      </c>
    </row>
    <row r="6" spans="1:2" x14ac:dyDescent="0.25">
      <c r="A6" s="2" t="s">
        <v>296</v>
      </c>
      <c r="B6" s="3">
        <v>1224</v>
      </c>
    </row>
    <row r="7" spans="1:2" x14ac:dyDescent="0.25">
      <c r="A7" s="2" t="s">
        <v>295</v>
      </c>
      <c r="B7" s="3">
        <v>2254</v>
      </c>
    </row>
    <row r="8" spans="1:2" x14ac:dyDescent="0.25">
      <c r="A8" s="2" t="s">
        <v>266</v>
      </c>
      <c r="B8" s="3">
        <v>4541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DE1D-3000-427D-8F89-E76DFE4523FC}">
  <dimension ref="A1:B14"/>
  <sheetViews>
    <sheetView workbookViewId="0">
      <selection activeCell="A3" sqref="A3"/>
    </sheetView>
  </sheetViews>
  <sheetFormatPr defaultRowHeight="13.8" x14ac:dyDescent="0.25"/>
  <cols>
    <col min="1" max="1" width="12.5546875" customWidth="1"/>
    <col min="2" max="2" width="13.77734375" customWidth="1"/>
  </cols>
  <sheetData>
    <row r="1" spans="1:2" x14ac:dyDescent="0.25">
      <c r="A1" t="s">
        <v>286</v>
      </c>
    </row>
    <row r="2" spans="1:2" x14ac:dyDescent="0.25">
      <c r="A2" t="s">
        <v>280</v>
      </c>
    </row>
    <row r="3" spans="1:2" x14ac:dyDescent="0.25">
      <c r="A3" s="1" t="s">
        <v>265</v>
      </c>
      <c r="B3" t="s">
        <v>278</v>
      </c>
    </row>
    <row r="4" spans="1:2" x14ac:dyDescent="0.25">
      <c r="A4" s="2" t="s">
        <v>1</v>
      </c>
      <c r="B4" s="3">
        <v>313</v>
      </c>
    </row>
    <row r="5" spans="1:2" x14ac:dyDescent="0.25">
      <c r="A5" s="2" t="s">
        <v>3</v>
      </c>
      <c r="B5" s="3">
        <v>627</v>
      </c>
    </row>
    <row r="6" spans="1:2" x14ac:dyDescent="0.25">
      <c r="A6" s="2" t="s">
        <v>4</v>
      </c>
      <c r="B6" s="3">
        <v>477</v>
      </c>
    </row>
    <row r="7" spans="1:2" x14ac:dyDescent="0.25">
      <c r="A7" s="2" t="s">
        <v>5</v>
      </c>
      <c r="B7" s="3">
        <v>480</v>
      </c>
    </row>
    <row r="8" spans="1:2" x14ac:dyDescent="0.25">
      <c r="A8" s="2" t="s">
        <v>6</v>
      </c>
      <c r="B8" s="3">
        <v>1498</v>
      </c>
    </row>
    <row r="9" spans="1:2" x14ac:dyDescent="0.25">
      <c r="A9" s="2" t="s">
        <v>11</v>
      </c>
      <c r="B9" s="3">
        <v>372</v>
      </c>
    </row>
    <row r="10" spans="1:2" x14ac:dyDescent="0.25">
      <c r="A10" s="2" t="s">
        <v>12</v>
      </c>
      <c r="B10" s="3">
        <v>645</v>
      </c>
    </row>
    <row r="11" spans="1:2" x14ac:dyDescent="0.25">
      <c r="A11" s="2" t="s">
        <v>8</v>
      </c>
      <c r="B11" s="3">
        <v>524</v>
      </c>
    </row>
    <row r="12" spans="1:2" x14ac:dyDescent="0.25">
      <c r="A12" s="2" t="s">
        <v>9</v>
      </c>
      <c r="B12" s="3">
        <v>285</v>
      </c>
    </row>
    <row r="13" spans="1:2" x14ac:dyDescent="0.25">
      <c r="A13" s="2" t="s">
        <v>10</v>
      </c>
      <c r="B13" s="3">
        <v>529</v>
      </c>
    </row>
    <row r="14" spans="1:2" x14ac:dyDescent="0.25">
      <c r="A14" s="2" t="s">
        <v>266</v>
      </c>
      <c r="B14" s="3">
        <v>5750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E1298-6AF8-461E-A374-E2C857B0E799}">
  <dimension ref="A1:B19"/>
  <sheetViews>
    <sheetView workbookViewId="0">
      <selection activeCell="A5" sqref="A5"/>
    </sheetView>
  </sheetViews>
  <sheetFormatPr defaultRowHeight="13.8" x14ac:dyDescent="0.25"/>
  <cols>
    <col min="1" max="1" width="12.5546875" customWidth="1"/>
    <col min="2" max="2" width="18.88671875" customWidth="1"/>
  </cols>
  <sheetData>
    <row r="1" spans="1:2" x14ac:dyDescent="0.25">
      <c r="A1" t="s">
        <v>288</v>
      </c>
    </row>
    <row r="2" spans="1:2" x14ac:dyDescent="0.25">
      <c r="A2" t="s">
        <v>287</v>
      </c>
    </row>
    <row r="3" spans="1:2" x14ac:dyDescent="0.25">
      <c r="A3" s="1" t="s">
        <v>265</v>
      </c>
      <c r="B3" t="s">
        <v>274</v>
      </c>
    </row>
    <row r="4" spans="1:2" x14ac:dyDescent="0.25">
      <c r="A4" s="2" t="s">
        <v>6</v>
      </c>
      <c r="B4" s="3">
        <v>1014</v>
      </c>
    </row>
    <row r="5" spans="1:2" x14ac:dyDescent="0.25">
      <c r="A5" s="2" t="s">
        <v>12</v>
      </c>
      <c r="B5" s="3">
        <v>595</v>
      </c>
    </row>
    <row r="6" spans="1:2" x14ac:dyDescent="0.25">
      <c r="A6" s="2" t="s">
        <v>8</v>
      </c>
      <c r="B6" s="3">
        <v>522</v>
      </c>
    </row>
    <row r="7" spans="1:2" x14ac:dyDescent="0.25">
      <c r="A7" s="2" t="s">
        <v>3</v>
      </c>
      <c r="B7" s="3">
        <v>506</v>
      </c>
    </row>
    <row r="8" spans="1:2" x14ac:dyDescent="0.25">
      <c r="A8" s="2" t="s">
        <v>11</v>
      </c>
      <c r="B8" s="3">
        <v>335</v>
      </c>
    </row>
    <row r="9" spans="1:2" x14ac:dyDescent="0.25">
      <c r="A9" s="2" t="s">
        <v>4</v>
      </c>
      <c r="B9" s="3">
        <v>315</v>
      </c>
    </row>
    <row r="10" spans="1:2" x14ac:dyDescent="0.25">
      <c r="A10" s="2" t="s">
        <v>5</v>
      </c>
      <c r="B10" s="3">
        <v>295</v>
      </c>
    </row>
    <row r="11" spans="1:2" x14ac:dyDescent="0.25">
      <c r="A11" s="2" t="s">
        <v>1</v>
      </c>
      <c r="B11" s="3">
        <v>287</v>
      </c>
    </row>
    <row r="12" spans="1:2" x14ac:dyDescent="0.25">
      <c r="A12" s="2" t="s">
        <v>10</v>
      </c>
      <c r="B12" s="3">
        <v>280</v>
      </c>
    </row>
    <row r="13" spans="1:2" x14ac:dyDescent="0.25">
      <c r="A13" s="2" t="s">
        <v>13</v>
      </c>
      <c r="B13" s="3">
        <v>158</v>
      </c>
    </row>
    <row r="14" spans="1:2" x14ac:dyDescent="0.25">
      <c r="A14" s="2" t="s">
        <v>9</v>
      </c>
      <c r="B14" s="3">
        <v>112</v>
      </c>
    </row>
    <row r="15" spans="1:2" x14ac:dyDescent="0.25">
      <c r="A15" s="2" t="s">
        <v>2</v>
      </c>
      <c r="B15" s="3">
        <v>62</v>
      </c>
    </row>
    <row r="16" spans="1:2" x14ac:dyDescent="0.25">
      <c r="A16" s="2" t="s">
        <v>7</v>
      </c>
      <c r="B16" s="3">
        <v>48</v>
      </c>
    </row>
    <row r="17" spans="1:2" x14ac:dyDescent="0.25">
      <c r="A17" s="2" t="s">
        <v>14</v>
      </c>
      <c r="B17" s="3">
        <v>9</v>
      </c>
    </row>
    <row r="18" spans="1:2" x14ac:dyDescent="0.25">
      <c r="A18" s="2" t="s">
        <v>15</v>
      </c>
      <c r="B18" s="3">
        <v>3</v>
      </c>
    </row>
    <row r="19" spans="1:2" x14ac:dyDescent="0.25">
      <c r="A19" s="2" t="s">
        <v>266</v>
      </c>
      <c r="B19" s="3">
        <v>4541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A13A-FF5A-4B9B-A66C-78A8ABBE8130}">
  <dimension ref="A1:B14"/>
  <sheetViews>
    <sheetView workbookViewId="0">
      <selection activeCell="G24" sqref="G24"/>
    </sheetView>
  </sheetViews>
  <sheetFormatPr defaultRowHeight="13.8" x14ac:dyDescent="0.25"/>
  <cols>
    <col min="1" max="1" width="25.77734375" customWidth="1"/>
    <col min="2" max="2" width="18.88671875" customWidth="1"/>
  </cols>
  <sheetData>
    <row r="1" spans="1:2" x14ac:dyDescent="0.25">
      <c r="A1" t="s">
        <v>279</v>
      </c>
    </row>
    <row r="2" spans="1:2" x14ac:dyDescent="0.25">
      <c r="A2" t="s">
        <v>289</v>
      </c>
    </row>
    <row r="3" spans="1:2" x14ac:dyDescent="0.25">
      <c r="A3" s="1" t="s">
        <v>265</v>
      </c>
      <c r="B3" t="s">
        <v>274</v>
      </c>
    </row>
    <row r="4" spans="1:2" x14ac:dyDescent="0.25">
      <c r="A4" s="2" t="s">
        <v>182</v>
      </c>
      <c r="B4" s="3">
        <v>188</v>
      </c>
    </row>
    <row r="5" spans="1:2" x14ac:dyDescent="0.25">
      <c r="A5" s="2" t="s">
        <v>201</v>
      </c>
      <c r="B5" s="3">
        <v>153</v>
      </c>
    </row>
    <row r="6" spans="1:2" x14ac:dyDescent="0.25">
      <c r="A6" s="2" t="s">
        <v>127</v>
      </c>
      <c r="B6" s="3">
        <v>214</v>
      </c>
    </row>
    <row r="7" spans="1:2" x14ac:dyDescent="0.25">
      <c r="A7" s="2" t="s">
        <v>195</v>
      </c>
      <c r="B7" s="3">
        <v>152</v>
      </c>
    </row>
    <row r="8" spans="1:2" x14ac:dyDescent="0.25">
      <c r="A8" s="2" t="s">
        <v>132</v>
      </c>
      <c r="B8" s="3">
        <v>127</v>
      </c>
    </row>
    <row r="9" spans="1:2" x14ac:dyDescent="0.25">
      <c r="A9" s="2" t="s">
        <v>211</v>
      </c>
      <c r="B9" s="3">
        <v>157</v>
      </c>
    </row>
    <row r="10" spans="1:2" x14ac:dyDescent="0.25">
      <c r="A10" s="2" t="s">
        <v>196</v>
      </c>
      <c r="B10" s="3">
        <v>149</v>
      </c>
    </row>
    <row r="11" spans="1:2" x14ac:dyDescent="0.25">
      <c r="A11" s="2" t="s">
        <v>223</v>
      </c>
      <c r="B11" s="3">
        <v>159</v>
      </c>
    </row>
    <row r="12" spans="1:2" x14ac:dyDescent="0.25">
      <c r="A12" s="2" t="s">
        <v>130</v>
      </c>
      <c r="B12" s="3">
        <v>283</v>
      </c>
    </row>
    <row r="13" spans="1:2" x14ac:dyDescent="0.25">
      <c r="A13" s="2" t="s">
        <v>255</v>
      </c>
      <c r="B13" s="3">
        <v>154</v>
      </c>
    </row>
    <row r="14" spans="1:2" x14ac:dyDescent="0.25">
      <c r="A14" s="2" t="s">
        <v>266</v>
      </c>
      <c r="B14" s="3">
        <v>1736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829E-81F9-48BF-8A2E-7A620B0E1198}">
  <dimension ref="A1:B14"/>
  <sheetViews>
    <sheetView workbookViewId="0">
      <selection activeCell="A3" sqref="A3"/>
    </sheetView>
  </sheetViews>
  <sheetFormatPr defaultRowHeight="13.8" x14ac:dyDescent="0.25"/>
  <cols>
    <col min="1" max="1" width="28.44140625" customWidth="1"/>
    <col min="2" max="2" width="18.88671875" customWidth="1"/>
  </cols>
  <sheetData>
    <row r="1" spans="1:2" x14ac:dyDescent="0.25">
      <c r="A1" t="s">
        <v>281</v>
      </c>
    </row>
    <row r="2" spans="1:2" x14ac:dyDescent="0.25">
      <c r="A2" t="s">
        <v>290</v>
      </c>
    </row>
    <row r="3" spans="1:2" x14ac:dyDescent="0.25">
      <c r="A3" s="1" t="s">
        <v>265</v>
      </c>
      <c r="B3" t="s">
        <v>274</v>
      </c>
    </row>
    <row r="4" spans="1:2" x14ac:dyDescent="0.25">
      <c r="A4" s="2" t="s">
        <v>83</v>
      </c>
      <c r="B4" s="3">
        <v>157</v>
      </c>
    </row>
    <row r="5" spans="1:2" x14ac:dyDescent="0.25">
      <c r="A5" s="2" t="s">
        <v>27</v>
      </c>
      <c r="B5" s="3">
        <v>279</v>
      </c>
    </row>
    <row r="6" spans="1:2" x14ac:dyDescent="0.25">
      <c r="A6" s="2" t="s">
        <v>74</v>
      </c>
      <c r="B6" s="3">
        <v>169</v>
      </c>
    </row>
    <row r="7" spans="1:2" x14ac:dyDescent="0.25">
      <c r="A7" s="2" t="s">
        <v>113</v>
      </c>
      <c r="B7" s="3">
        <v>117</v>
      </c>
    </row>
    <row r="8" spans="1:2" x14ac:dyDescent="0.25">
      <c r="A8" s="2" t="s">
        <v>93</v>
      </c>
      <c r="B8" s="3">
        <v>159</v>
      </c>
    </row>
    <row r="9" spans="1:2" x14ac:dyDescent="0.25">
      <c r="A9" s="2" t="s">
        <v>71</v>
      </c>
      <c r="B9" s="3">
        <v>221</v>
      </c>
    </row>
    <row r="10" spans="1:2" x14ac:dyDescent="0.25">
      <c r="A10" s="2" t="s">
        <v>115</v>
      </c>
      <c r="B10" s="3">
        <v>154</v>
      </c>
    </row>
    <row r="11" spans="1:2" x14ac:dyDescent="0.25">
      <c r="A11" s="2" t="s">
        <v>111</v>
      </c>
      <c r="B11" s="3">
        <v>189</v>
      </c>
    </row>
    <row r="12" spans="1:2" x14ac:dyDescent="0.25">
      <c r="A12" s="2" t="s">
        <v>67</v>
      </c>
      <c r="B12" s="3">
        <v>117</v>
      </c>
    </row>
    <row r="13" spans="1:2" x14ac:dyDescent="0.25">
      <c r="A13" s="2" t="s">
        <v>58</v>
      </c>
      <c r="B13" s="3">
        <v>187</v>
      </c>
    </row>
    <row r="14" spans="1:2" x14ac:dyDescent="0.25">
      <c r="A14" s="2" t="s">
        <v>266</v>
      </c>
      <c r="B14" s="3">
        <v>1749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072B-6990-43BB-BBF6-5EF38F35AD47}">
  <dimension ref="A1:B19"/>
  <sheetViews>
    <sheetView tabSelected="1" workbookViewId="0">
      <selection activeCell="I34" sqref="I34"/>
    </sheetView>
  </sheetViews>
  <sheetFormatPr defaultRowHeight="13.8" x14ac:dyDescent="0.25"/>
  <cols>
    <col min="1" max="1" width="13.33203125" bestFit="1" customWidth="1"/>
    <col min="2" max="2" width="23.88671875" bestFit="1" customWidth="1"/>
  </cols>
  <sheetData>
    <row r="1" spans="1:2" x14ac:dyDescent="0.25">
      <c r="A1" t="s">
        <v>292</v>
      </c>
    </row>
    <row r="2" spans="1:2" x14ac:dyDescent="0.25">
      <c r="A2" t="s">
        <v>291</v>
      </c>
    </row>
    <row r="3" spans="1:2" x14ac:dyDescent="0.25">
      <c r="A3" s="1" t="s">
        <v>265</v>
      </c>
      <c r="B3" t="s">
        <v>349</v>
      </c>
    </row>
    <row r="4" spans="1:2" x14ac:dyDescent="0.25">
      <c r="A4" s="2" t="s">
        <v>1</v>
      </c>
      <c r="B4" s="3">
        <v>12.186904761904762</v>
      </c>
    </row>
    <row r="5" spans="1:2" x14ac:dyDescent="0.25">
      <c r="A5" s="2" t="s">
        <v>2</v>
      </c>
      <c r="B5" s="3">
        <v>6</v>
      </c>
    </row>
    <row r="6" spans="1:2" x14ac:dyDescent="0.25">
      <c r="A6" s="2" t="s">
        <v>15</v>
      </c>
      <c r="B6" s="3">
        <v>0.75</v>
      </c>
    </row>
    <row r="7" spans="1:2" x14ac:dyDescent="0.25">
      <c r="A7" s="2" t="s">
        <v>3</v>
      </c>
      <c r="B7" s="3">
        <v>14.955295202095479</v>
      </c>
    </row>
    <row r="8" spans="1:2" x14ac:dyDescent="0.25">
      <c r="A8" s="2" t="s">
        <v>4</v>
      </c>
      <c r="B8" s="3">
        <v>16.75846038587099</v>
      </c>
    </row>
    <row r="9" spans="1:2" x14ac:dyDescent="0.25">
      <c r="A9" s="2" t="s">
        <v>13</v>
      </c>
      <c r="B9" s="3">
        <v>1.1111111111111112</v>
      </c>
    </row>
    <row r="10" spans="1:2" x14ac:dyDescent="0.25">
      <c r="A10" s="2" t="s">
        <v>5</v>
      </c>
      <c r="B10" s="3">
        <v>6.7939790409170815</v>
      </c>
    </row>
    <row r="11" spans="1:2" x14ac:dyDescent="0.25">
      <c r="A11" s="2" t="s">
        <v>6</v>
      </c>
      <c r="B11" s="3">
        <v>27.175431547630968</v>
      </c>
    </row>
    <row r="12" spans="1:2" x14ac:dyDescent="0.25">
      <c r="A12" s="2" t="s">
        <v>7</v>
      </c>
      <c r="B12" s="3">
        <v>5.1042986425339363</v>
      </c>
    </row>
    <row r="13" spans="1:2" x14ac:dyDescent="0.25">
      <c r="A13" s="2" t="s">
        <v>14</v>
      </c>
      <c r="B13" s="3">
        <v>1</v>
      </c>
    </row>
    <row r="14" spans="1:2" x14ac:dyDescent="0.25">
      <c r="A14" s="2" t="s">
        <v>11</v>
      </c>
      <c r="B14" s="3">
        <v>15.228448842978123</v>
      </c>
    </row>
    <row r="15" spans="1:2" x14ac:dyDescent="0.25">
      <c r="A15" s="2" t="s">
        <v>12</v>
      </c>
      <c r="B15" s="3">
        <v>8.5187881562881564</v>
      </c>
    </row>
    <row r="16" spans="1:2" x14ac:dyDescent="0.25">
      <c r="A16" s="2" t="s">
        <v>8</v>
      </c>
      <c r="B16" s="3">
        <v>8.9797979797979792</v>
      </c>
    </row>
    <row r="17" spans="1:2" x14ac:dyDescent="0.25">
      <c r="A17" s="2" t="s">
        <v>9</v>
      </c>
      <c r="B17" s="3">
        <v>3.0581632653061224</v>
      </c>
    </row>
    <row r="18" spans="1:2" x14ac:dyDescent="0.25">
      <c r="A18" s="2" t="s">
        <v>10</v>
      </c>
      <c r="B18" s="3">
        <v>10.93968422543189</v>
      </c>
    </row>
    <row r="19" spans="1:2" x14ac:dyDescent="0.25">
      <c r="A19" s="2" t="s">
        <v>266</v>
      </c>
      <c r="B19" s="3">
        <v>138.56036316186658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157CE5-4BE4-4841-8967-F861785073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Sheet2</vt:lpstr>
      <vt:lpstr>Sheet13</vt:lpstr>
      <vt:lpstr>QUESTION 1</vt:lpstr>
      <vt:lpstr>QUESTION 2</vt:lpstr>
      <vt:lpstr>QUESTION 3</vt:lpstr>
      <vt:lpstr>QUESTION 4</vt:lpstr>
      <vt:lpstr>QUESTION 5</vt:lpstr>
      <vt:lpstr>QUESTION 6 </vt:lpstr>
      <vt:lpstr>QUESTION 7</vt:lpstr>
      <vt:lpstr>QUESTION 8</vt:lpstr>
      <vt:lpstr>Sheet9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Mero 1</dc:creator>
  <cp:lastModifiedBy>Mero 1</cp:lastModifiedBy>
  <cp:lastPrinted>2026-05-25T07:14:05Z</cp:lastPrinted>
  <dcterms:created xsi:type="dcterms:W3CDTF">2026-05-23T14:14:24Z</dcterms:created>
  <dcterms:modified xsi:type="dcterms:W3CDTF">2026-06-04T10:05:43Z</dcterms:modified>
</cp:coreProperties>
</file>